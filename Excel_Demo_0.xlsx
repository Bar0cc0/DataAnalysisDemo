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b7ab997423952/Bureau/Portefolio/"/>
    </mc:Choice>
  </mc:AlternateContent>
  <xr:revisionPtr revIDLastSave="223" documentId="13_ncr:1_{3F97A1B5-CF1E-472E-B12F-FB4674C8372F}" xr6:coauthVersionLast="47" xr6:coauthVersionMax="47" xr10:uidLastSave="{8820C4F4-94FC-436B-A222-8D364C40F144}"/>
  <bookViews>
    <workbookView xWindow="-28920" yWindow="-120" windowWidth="29040" windowHeight="16440" xr2:uid="{C63EF1ED-7C5F-4207-BC10-B62F8A456BA3}"/>
  </bookViews>
  <sheets>
    <sheet name="Étude_Données" sheetId="2" r:id="rId1"/>
  </sheets>
  <definedNames>
    <definedName name="_xlnm._FilterDatabase" localSheetId="0" hidden="1">Étude_Données!$A$3:$Q$106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2" l="1"/>
  <c r="W7" i="2"/>
  <c r="T8" i="2"/>
  <c r="T10" i="2" s="1"/>
  <c r="W8" i="2"/>
  <c r="T9" i="2"/>
  <c r="W11" i="2"/>
  <c r="T12" i="2"/>
  <c r="W12" i="2"/>
  <c r="W26" i="2"/>
  <c r="M91" i="2"/>
  <c r="J91" i="2"/>
  <c r="M59" i="2"/>
  <c r="J59" i="2"/>
  <c r="M103" i="2"/>
  <c r="J15" i="2"/>
  <c r="J13" i="2"/>
  <c r="J4" i="2"/>
  <c r="M4" i="2"/>
  <c r="M14" i="2"/>
  <c r="M19" i="2"/>
  <c r="M28" i="2"/>
  <c r="M35" i="2"/>
  <c r="M40" i="2"/>
  <c r="M42" i="2"/>
  <c r="M44" i="2"/>
  <c r="M47" i="2"/>
  <c r="M46" i="2"/>
  <c r="J14" i="2"/>
  <c r="J19" i="2"/>
  <c r="J28" i="2"/>
  <c r="J35" i="2"/>
  <c r="J40" i="2"/>
  <c r="J42" i="2"/>
  <c r="J44" i="2"/>
  <c r="J47" i="2"/>
  <c r="J46" i="2"/>
  <c r="M15" i="2"/>
  <c r="M13" i="2"/>
  <c r="M16" i="2"/>
  <c r="M17" i="2"/>
  <c r="M18" i="2"/>
  <c r="M20" i="2"/>
  <c r="M21" i="2"/>
  <c r="M22" i="2"/>
  <c r="M23" i="2"/>
  <c r="M24" i="2"/>
  <c r="M25" i="2"/>
  <c r="M26" i="2"/>
  <c r="M27" i="2"/>
  <c r="M29" i="2"/>
  <c r="M30" i="2"/>
  <c r="M31" i="2"/>
  <c r="M32" i="2"/>
  <c r="M33" i="2"/>
  <c r="M34" i="2"/>
  <c r="M36" i="2"/>
  <c r="M38" i="2"/>
  <c r="M37" i="2"/>
  <c r="M39" i="2"/>
  <c r="M41" i="2"/>
  <c r="M43" i="2"/>
  <c r="M45" i="2"/>
  <c r="M48" i="2"/>
  <c r="M49" i="2"/>
  <c r="M50" i="2"/>
  <c r="M51" i="2"/>
  <c r="M52" i="2"/>
  <c r="M53" i="2"/>
  <c r="M54" i="2"/>
  <c r="M93" i="2"/>
  <c r="M55" i="2"/>
  <c r="M56" i="2"/>
  <c r="M57" i="2"/>
  <c r="M58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2" i="2"/>
  <c r="M94" i="2"/>
  <c r="M95" i="2"/>
  <c r="M96" i="2"/>
  <c r="M97" i="2"/>
  <c r="M98" i="2"/>
  <c r="M99" i="2"/>
  <c r="M100" i="2"/>
  <c r="M101" i="2"/>
  <c r="M102" i="2"/>
  <c r="M5" i="2"/>
  <c r="M6" i="2"/>
  <c r="M7" i="2"/>
  <c r="M8" i="2"/>
  <c r="M9" i="2"/>
  <c r="M10" i="2"/>
  <c r="M11" i="2"/>
  <c r="M12" i="2"/>
  <c r="J16" i="2"/>
  <c r="J17" i="2"/>
  <c r="J18" i="2"/>
  <c r="J20" i="2"/>
  <c r="J21" i="2"/>
  <c r="J22" i="2"/>
  <c r="J23" i="2"/>
  <c r="J24" i="2"/>
  <c r="J25" i="2"/>
  <c r="J26" i="2"/>
  <c r="J27" i="2"/>
  <c r="J29" i="2"/>
  <c r="J30" i="2"/>
  <c r="J31" i="2"/>
  <c r="J32" i="2"/>
  <c r="J33" i="2"/>
  <c r="J34" i="2"/>
  <c r="J36" i="2"/>
  <c r="J38" i="2"/>
  <c r="J37" i="2"/>
  <c r="J39" i="2"/>
  <c r="J41" i="2"/>
  <c r="J43" i="2"/>
  <c r="J45" i="2"/>
  <c r="J48" i="2"/>
  <c r="J49" i="2"/>
  <c r="J50" i="2"/>
  <c r="J51" i="2"/>
  <c r="J52" i="2"/>
  <c r="J53" i="2"/>
  <c r="J54" i="2"/>
  <c r="J93" i="2"/>
  <c r="J55" i="2"/>
  <c r="J56" i="2"/>
  <c r="J57" i="2"/>
  <c r="J58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2" i="2"/>
  <c r="J94" i="2"/>
  <c r="J95" i="2"/>
  <c r="J96" i="2"/>
  <c r="J97" i="2"/>
  <c r="J98" i="2"/>
  <c r="J99" i="2"/>
  <c r="J100" i="2"/>
  <c r="J101" i="2"/>
  <c r="J102" i="2"/>
  <c r="J103" i="2"/>
  <c r="J5" i="2"/>
  <c r="J6" i="2"/>
  <c r="J7" i="2"/>
  <c r="J8" i="2"/>
  <c r="J9" i="2"/>
  <c r="J10" i="2"/>
  <c r="J11" i="2"/>
  <c r="J12" i="2"/>
  <c r="T11" i="2" l="1"/>
  <c r="O91" i="2"/>
  <c r="N91" i="2"/>
  <c r="N59" i="2"/>
  <c r="O59" i="2"/>
  <c r="N94" i="2"/>
  <c r="N80" i="2"/>
  <c r="N68" i="2"/>
  <c r="N55" i="2"/>
  <c r="N66" i="2"/>
  <c r="N79" i="2"/>
  <c r="O45" i="2"/>
  <c r="N92" i="2"/>
  <c r="O101" i="2"/>
  <c r="O51" i="2"/>
  <c r="O75" i="2"/>
  <c r="N84" i="2"/>
  <c r="O87" i="2"/>
  <c r="O63" i="2"/>
  <c r="N67" i="2"/>
  <c r="N93" i="2"/>
  <c r="N14" i="2"/>
  <c r="N90" i="2"/>
  <c r="N54" i="2"/>
  <c r="O77" i="2"/>
  <c r="N78" i="2"/>
  <c r="O66" i="2"/>
  <c r="O89" i="2"/>
  <c r="O65" i="2"/>
  <c r="O53" i="2"/>
  <c r="O102" i="2"/>
  <c r="N88" i="2"/>
  <c r="N76" i="2"/>
  <c r="O64" i="2"/>
  <c r="N52" i="2"/>
  <c r="O47" i="2"/>
  <c r="O46" i="2"/>
  <c r="O100" i="2"/>
  <c r="O86" i="2"/>
  <c r="O74" i="2"/>
  <c r="O62" i="2"/>
  <c r="O50" i="2"/>
  <c r="O99" i="2"/>
  <c r="O49" i="2"/>
  <c r="N44" i="2"/>
  <c r="O98" i="2"/>
  <c r="N72" i="2"/>
  <c r="N71" i="2"/>
  <c r="N96" i="2"/>
  <c r="N82" i="2"/>
  <c r="N70" i="2"/>
  <c r="N57" i="2"/>
  <c r="N43" i="2"/>
  <c r="N48" i="2"/>
  <c r="N58" i="2"/>
  <c r="N95" i="2"/>
  <c r="N81" i="2"/>
  <c r="N69" i="2"/>
  <c r="N56" i="2"/>
  <c r="N28" i="2"/>
  <c r="N19" i="2"/>
  <c r="N4" i="2"/>
  <c r="N47" i="2"/>
  <c r="N100" i="2"/>
  <c r="N87" i="2"/>
  <c r="N75" i="2"/>
  <c r="N64" i="2"/>
  <c r="N51" i="2"/>
  <c r="O28" i="2"/>
  <c r="O95" i="2"/>
  <c r="O82" i="2"/>
  <c r="O71" i="2"/>
  <c r="O58" i="2"/>
  <c r="O43" i="2"/>
  <c r="N99" i="2"/>
  <c r="N86" i="2"/>
  <c r="N74" i="2"/>
  <c r="N63" i="2"/>
  <c r="N50" i="2"/>
  <c r="O19" i="2"/>
  <c r="O94" i="2"/>
  <c r="O81" i="2"/>
  <c r="O70" i="2"/>
  <c r="O57" i="2"/>
  <c r="N42" i="2"/>
  <c r="N49" i="2"/>
  <c r="N40" i="2"/>
  <c r="N97" i="2"/>
  <c r="N61" i="2"/>
  <c r="O4" i="2"/>
  <c r="O92" i="2"/>
  <c r="O79" i="2"/>
  <c r="O68" i="2"/>
  <c r="O55" i="2"/>
  <c r="N73" i="2"/>
  <c r="N60" i="2"/>
  <c r="N62" i="2"/>
  <c r="O14" i="2"/>
  <c r="N35" i="2"/>
  <c r="N45" i="2"/>
  <c r="O103" i="2"/>
  <c r="O90" i="2"/>
  <c r="O78" i="2"/>
  <c r="O67" i="2"/>
  <c r="O54" i="2"/>
  <c r="N98" i="2"/>
  <c r="O93" i="2"/>
  <c r="O88" i="2"/>
  <c r="O76" i="2"/>
  <c r="O52" i="2"/>
  <c r="N85" i="2"/>
  <c r="O80" i="2"/>
  <c r="N83" i="2"/>
  <c r="O56" i="2"/>
  <c r="O44" i="2"/>
  <c r="O69" i="2"/>
  <c r="N103" i="2"/>
  <c r="O42" i="2"/>
  <c r="O85" i="2"/>
  <c r="O73" i="2"/>
  <c r="N102" i="2"/>
  <c r="N89" i="2"/>
  <c r="N77" i="2"/>
  <c r="N53" i="2"/>
  <c r="O40" i="2"/>
  <c r="O97" i="2"/>
  <c r="O84" i="2"/>
  <c r="O72" i="2"/>
  <c r="O61" i="2"/>
  <c r="O48" i="2"/>
  <c r="N46" i="2"/>
  <c r="N101" i="2"/>
  <c r="N65" i="2"/>
  <c r="O35" i="2"/>
  <c r="O96" i="2"/>
  <c r="O83" i="2"/>
  <c r="O60" i="2"/>
  <c r="O37" i="2"/>
  <c r="O6" i="2"/>
  <c r="N36" i="2"/>
  <c r="N30" i="2"/>
  <c r="N24" i="2"/>
  <c r="O32" i="2"/>
  <c r="O18" i="2"/>
  <c r="N22" i="2"/>
  <c r="N31" i="2"/>
  <c r="N37" i="2"/>
  <c r="N10" i="2"/>
  <c r="N38" i="2"/>
  <c r="N23" i="2"/>
  <c r="N9" i="2"/>
  <c r="O31" i="2"/>
  <c r="O17" i="2"/>
  <c r="O30" i="2"/>
  <c r="O16" i="2"/>
  <c r="O15" i="2"/>
  <c r="N21" i="2"/>
  <c r="N7" i="2"/>
  <c r="N33" i="2"/>
  <c r="N6" i="2"/>
  <c r="O27" i="2"/>
  <c r="O13" i="2"/>
  <c r="N34" i="2"/>
  <c r="O29" i="2"/>
  <c r="N20" i="2"/>
  <c r="N32" i="2"/>
  <c r="N18" i="2"/>
  <c r="O41" i="2"/>
  <c r="O26" i="2"/>
  <c r="O12" i="2"/>
  <c r="O11" i="2"/>
  <c r="O10" i="2"/>
  <c r="N16" i="2"/>
  <c r="O24" i="2"/>
  <c r="N5" i="2"/>
  <c r="N29" i="2"/>
  <c r="N15" i="2"/>
  <c r="O38" i="2"/>
  <c r="O23" i="2"/>
  <c r="O9" i="2"/>
  <c r="N8" i="2"/>
  <c r="O25" i="2"/>
  <c r="O5" i="2"/>
  <c r="N27" i="2"/>
  <c r="N13" i="2"/>
  <c r="O36" i="2"/>
  <c r="O22" i="2"/>
  <c r="O8" i="2"/>
  <c r="N17" i="2"/>
  <c r="N41" i="2"/>
  <c r="N12" i="2"/>
  <c r="O34" i="2"/>
  <c r="O21" i="2"/>
  <c r="O7" i="2"/>
  <c r="O39" i="2"/>
  <c r="N26" i="2"/>
  <c r="N39" i="2"/>
  <c r="N25" i="2"/>
  <c r="N11" i="2"/>
  <c r="O33" i="2"/>
  <c r="O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C3" authorId="0" shapeId="0" xr:uid="{09BB0DD7-BAF4-433F-A40F-73E4511C94A7}">
      <text>
        <r>
          <rPr>
            <sz val="11"/>
            <color theme="1"/>
            <rFont val="Calibri"/>
            <family val="2"/>
            <scheme val="minor"/>
          </rPr>
          <t>Number of authors</t>
        </r>
      </text>
    </comment>
    <comment ref="D3" authorId="0" shapeId="0" xr:uid="{55AC7197-2B33-4FD2-85D9-789C0695DD78}">
      <text>
        <r>
          <rPr>
            <b/>
            <sz val="9"/>
            <color indexed="81"/>
            <rFont val="Tahoma"/>
            <family val="2"/>
          </rPr>
          <t>Year of publication</t>
        </r>
      </text>
    </comment>
    <comment ref="H3" authorId="0" shapeId="0" xr:uid="{94916A40-DEC3-4DC0-B1D7-CE7715BB4175}">
      <text>
        <r>
          <rPr>
            <b/>
            <sz val="9"/>
            <color indexed="81"/>
            <rFont val="Tahoma"/>
            <family val="2"/>
          </rPr>
          <t>Source type</t>
        </r>
        <r>
          <rPr>
            <sz val="9"/>
            <color indexed="81"/>
            <rFont val="Tahoma"/>
            <family val="2"/>
          </rPr>
          <t xml:space="preserve">
Article   A
Chapter C
Proc.     P</t>
        </r>
      </text>
    </comment>
    <comment ref="I3" authorId="0" shapeId="0" xr:uid="{7D4CCDCB-B580-43B8-B599-A12CB64541CD}">
      <text>
        <r>
          <rPr>
            <b/>
            <sz val="9"/>
            <color indexed="81"/>
            <rFont val="Tahoma"/>
            <family val="2"/>
          </rPr>
          <t>Average number of citations</t>
        </r>
      </text>
    </comment>
    <comment ref="J3" authorId="0" shapeId="0" xr:uid="{DAABBCE2-9877-4097-8E83-9CA5130FE572}">
      <text>
        <r>
          <rPr>
            <b/>
            <sz val="9"/>
            <color indexed="81"/>
            <rFont val="Tahoma"/>
            <family val="2"/>
          </rPr>
          <t>Citation entropy</t>
        </r>
        <r>
          <rPr>
            <sz val="9"/>
            <color indexed="81"/>
            <rFont val="Tahoma"/>
            <family val="2"/>
          </rPr>
          <t xml:space="preserve">
(Silagadze 2010)
Si=log[Ci/(AixYi)]+1</t>
        </r>
      </text>
    </comment>
    <comment ref="K3" authorId="0" shapeId="0" xr:uid="{1841DA94-BF07-41E4-94E9-31589E5D08C2}">
      <text>
        <r>
          <rPr>
            <b/>
            <sz val="9"/>
            <color indexed="81"/>
            <rFont val="Tahoma"/>
            <family val="2"/>
          </rPr>
          <t>Argmax (h-index)</t>
        </r>
        <r>
          <rPr>
            <b/>
            <vertAlign val="subscript"/>
            <sz val="9"/>
            <color indexed="81"/>
            <rFont val="Tahoma"/>
            <family val="2"/>
          </rPr>
          <t>authors</t>
        </r>
      </text>
    </comment>
    <comment ref="L3" authorId="0" shapeId="0" xr:uid="{0A37E0F6-5514-4C41-B47A-863CB73C29FC}">
      <text>
        <r>
          <rPr>
            <b/>
            <sz val="9"/>
            <color indexed="81"/>
            <rFont val="Tahoma"/>
            <family val="2"/>
          </rPr>
          <t>Domain weight</t>
        </r>
        <r>
          <rPr>
            <sz val="9"/>
            <color indexed="81"/>
            <rFont val="Tahoma"/>
            <family val="2"/>
          </rPr>
          <t xml:space="preserve">
Education 12.18
Comput    15.79
Soc/Psy    17.97
Medecine  23.47
Humanities 9.00</t>
        </r>
      </text>
    </comment>
    <comment ref="M3" authorId="0" shapeId="0" xr:uid="{7A9D1CE5-25F5-477B-B43E-091040C500B8}">
      <text>
        <r>
          <rPr>
            <b/>
            <sz val="9"/>
            <color indexed="81"/>
            <rFont val="Tahoma"/>
            <family val="2"/>
          </rPr>
          <t>Standardized h-index</t>
        </r>
        <r>
          <rPr>
            <sz val="9"/>
            <color indexed="81"/>
            <rFont val="Tahoma"/>
            <family val="2"/>
          </rPr>
          <t xml:space="preserve">
(Kaur et al. 2013)
hs = hI/&lt;hd&gt;</t>
        </r>
      </text>
    </comment>
    <comment ref="N3" authorId="0" shapeId="0" xr:uid="{78FBA367-AAA0-40D2-91AD-327D4D989063}">
      <text>
        <r>
          <rPr>
            <b/>
            <sz val="9"/>
            <color indexed="81"/>
            <rFont val="Tahoma"/>
            <family val="2"/>
          </rPr>
          <t>Norm. == centered around median + reduced to val. in [0,1]</t>
        </r>
      </text>
    </comment>
    <comment ref="Q3" authorId="0" shapeId="0" xr:uid="{55F5B145-CAAB-4681-8BED-F077B637ACBA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Ethno/réflex    1
AC/Meth         2
AC/Collab        3
AC/Eval           4
NLP/Model       5
NLP/Eval          6      
Socio/Philo IA   7</t>
        </r>
      </text>
    </comment>
    <comment ref="S11" authorId="0" shapeId="0" xr:uid="{27F8B164-3D19-4C0F-A0A8-D4E2D5742648}">
      <text>
        <r>
          <rPr>
            <sz val="9"/>
            <color indexed="81"/>
            <rFont val="Tahoma"/>
            <family val="2"/>
          </rPr>
          <t>z := nb of sd away for normal distrib mean</t>
        </r>
      </text>
    </comment>
  </commentList>
</comments>
</file>

<file path=xl/sharedStrings.xml><?xml version="1.0" encoding="utf-8"?>
<sst xmlns="http://schemas.openxmlformats.org/spreadsheetml/2006/main" count="546" uniqueCount="342">
  <si>
    <t>Bolukbasi et al.</t>
  </si>
  <si>
    <t>Collier</t>
  </si>
  <si>
    <t>#</t>
  </si>
  <si>
    <t>Hamilton et al.</t>
  </si>
  <si>
    <t xml:space="preserve">Lowrie </t>
  </si>
  <si>
    <t>Spangler</t>
  </si>
  <si>
    <t>Angelov</t>
  </si>
  <si>
    <t>Bhatt et al.</t>
  </si>
  <si>
    <t>Boulanger-Lewandowski et al.</t>
  </si>
  <si>
    <t>Cheng et al.</t>
  </si>
  <si>
    <t>Greff et al.</t>
  </si>
  <si>
    <t>Hosseini et al.</t>
  </si>
  <si>
    <t>Huang et al.</t>
  </si>
  <si>
    <t>Kim et al.</t>
  </si>
  <si>
    <t xml:space="preserve">Vaswani et al. </t>
  </si>
  <si>
    <t>Zafrir et al.</t>
  </si>
  <si>
    <t xml:space="preserve">Zang et al. </t>
  </si>
  <si>
    <t>Fan et al.</t>
  </si>
  <si>
    <t>Feder et al.</t>
  </si>
  <si>
    <t>Garg et al.</t>
  </si>
  <si>
    <t>Tang et al.</t>
  </si>
  <si>
    <t>König-Pralong</t>
  </si>
  <si>
    <t>Meunier</t>
  </si>
  <si>
    <t>Rollandin</t>
  </si>
  <si>
    <t>Schummer</t>
  </si>
  <si>
    <t>Snowden et al.</t>
  </si>
  <si>
    <t>Trouche</t>
  </si>
  <si>
    <t>Attride-Stirling</t>
  </si>
  <si>
    <t>Barkaoui</t>
  </si>
  <si>
    <t>Bednarz et al.</t>
  </si>
  <si>
    <t>Chow et al.</t>
  </si>
  <si>
    <t>Cohen</t>
  </si>
  <si>
    <t>Holmes</t>
  </si>
  <si>
    <t>Keller</t>
  </si>
  <si>
    <t>Krippendorff</t>
  </si>
  <si>
    <t>McDonald et al.</t>
  </si>
  <si>
    <t>Russo et al.</t>
  </si>
  <si>
    <t>Weber</t>
  </si>
  <si>
    <t>Zapf et al.</t>
  </si>
  <si>
    <t>Zhao et al.</t>
  </si>
  <si>
    <t>Archer</t>
  </si>
  <si>
    <t>Archer et al.</t>
  </si>
  <si>
    <t>Aroyo et al.</t>
  </si>
  <si>
    <t>Bazeley</t>
  </si>
  <si>
    <t>Blair</t>
  </si>
  <si>
    <t>Cho et al.</t>
  </si>
  <si>
    <t>Ericsson</t>
  </si>
  <si>
    <t>Frost et al.</t>
  </si>
  <si>
    <t>Glaser</t>
  </si>
  <si>
    <t>Lejeune</t>
  </si>
  <si>
    <t>Patton</t>
  </si>
  <si>
    <t>Phakiti et al.</t>
  </si>
  <si>
    <t>Cascio et al.</t>
  </si>
  <si>
    <t>Chang et al.</t>
  </si>
  <si>
    <t>Chinh et al.</t>
  </si>
  <si>
    <t>Mackey et al.</t>
  </si>
  <si>
    <t>Paletz et al.</t>
  </si>
  <si>
    <t>Rebuschat et al.</t>
  </si>
  <si>
    <t>Vacher</t>
  </si>
  <si>
    <t>L'examen et l'analyse phénoménologiques des données d'entretien</t>
  </si>
  <si>
    <t>C</t>
  </si>
  <si>
    <t>Wanlin</t>
  </si>
  <si>
    <t>Survey of topic modeling in text mining</t>
  </si>
  <si>
    <t>A</t>
  </si>
  <si>
    <t>Top2Vec: Distributed representations of topics</t>
  </si>
  <si>
    <t>Arxiv</t>
  </si>
  <si>
    <t>Think-aloud protocols in research on essay rating: An empirical study of their veridicality and reactivity</t>
  </si>
  <si>
    <t>Discovering topic structures of a temporally evolving document corpus</t>
  </si>
  <si>
    <t>Lang Test 28(1)</t>
  </si>
  <si>
    <t>Knowl Inf Syst 55</t>
  </si>
  <si>
    <t>Int Jour Adv Comp Sci App 6(1)</t>
  </si>
  <si>
    <t>Correlated topic models</t>
  </si>
  <si>
    <t>Thinking about measures and measurement in positivist research: A proposal for refocusing on fundamentals</t>
  </si>
  <si>
    <t>Inf Syst Res 28(3)</t>
  </si>
  <si>
    <t>A reflexive exploration of two qualitative data coding techniques</t>
  </si>
  <si>
    <t>Jour Meth Meas Soc Sci 6(1)</t>
  </si>
  <si>
    <t>Chen et Lin</t>
  </si>
  <si>
    <t>Effects of peer collaboration on EFL larners' comprehension of conversational implicatures</t>
  </si>
  <si>
    <t>Syst 97</t>
  </si>
  <si>
    <t>Elsevier</t>
  </si>
  <si>
    <t>BTM: Topic modeling over short texts</t>
  </si>
  <si>
    <t>Trans Knowl Data Eng 26(12)</t>
  </si>
  <si>
    <t>Ways of qualitative coding: A case study of four strategies for resolving disagreements</t>
  </si>
  <si>
    <t>Asso Comp Mach</t>
  </si>
  <si>
    <t>Handbook of strategies and strategic processing</t>
  </si>
  <si>
    <t>Qualitative approaches to the verbal protocol analysis of strategic processing</t>
  </si>
  <si>
    <t>Protocol analysis and expert thought: Concurrent verbalizations of thinking during experts' performance on representative tasks</t>
  </si>
  <si>
    <t>Handbook of expertise and expert performance</t>
  </si>
  <si>
    <t>Assessing topic model relevance: Evaluation and informative priors</t>
  </si>
  <si>
    <t>Stat Anal Data Min 12</t>
  </si>
  <si>
    <t>Stimulated recall methodology in applied linguistics and L2 research</t>
  </si>
  <si>
    <t>Data analysis</t>
  </si>
  <si>
    <t>Ethnography of creativity: Looking through a practice lens</t>
  </si>
  <si>
    <t>Handbook of research methods on creativity</t>
  </si>
  <si>
    <t>Researcher positionality: A consideration of its influence and place in qualitative research</t>
  </si>
  <si>
    <t>Int Jour Educ 8(4)</t>
  </si>
  <si>
    <t>TEAGS: Time-aware text embedding approach to generate subgraphs</t>
  </si>
  <si>
    <t>Data Min Knowl Disco 34</t>
  </si>
  <si>
    <t>Phrase CTM: Correlated modeling on phrases within Markov random fields</t>
  </si>
  <si>
    <t>Asso Comp Ling</t>
  </si>
  <si>
    <t>Context-dependent conceptualization</t>
  </si>
  <si>
    <t>A comparison of concurrent and retrospective verbal protocol analysis</t>
  </si>
  <si>
    <t>Am Jour Psy 113(3)</t>
  </si>
  <si>
    <t>How do learners perceive interactional feedback?</t>
  </si>
  <si>
    <t>Stud Sec Lang Acq 22</t>
  </si>
  <si>
    <t>Qualitative data analysis: A primer on core approaches</t>
  </si>
  <si>
    <t>Intragroup conflict under the microscope: Micro-conflicts in naturalistic team discussions</t>
  </si>
  <si>
    <t>Nego Confict Manag Res 4(4)</t>
  </si>
  <si>
    <t>Research approaches and methodology</t>
  </si>
  <si>
    <t>Handbook of applied linguistics research methodology</t>
  </si>
  <si>
    <t>Triangulating measures of awareness</t>
  </si>
  <si>
    <t>Stud Sec Lang Acq 37</t>
  </si>
  <si>
    <t>Verbal protocol analysis as a tool to understand the creative process</t>
  </si>
  <si>
    <t>Handbook of research methods on creativity</t>
  </si>
  <si>
    <t>The role of artificial intelligence in understanding the strategic decision-making process</t>
  </si>
  <si>
    <t>Trans Knowl Data Eng 3(2)</t>
  </si>
  <si>
    <t>Conceptualization topic modeling</t>
  </si>
  <si>
    <t>Multimed Tools App 77</t>
  </si>
  <si>
    <t>Using thematic analysis in psychology</t>
  </si>
  <si>
    <t>Qual Res Psy 3(2)</t>
  </si>
  <si>
    <t>L'analyse de contenu comme méthode d'analyse qualitative d'entretiens : une comparaison entre les traitements manuels et logiciels</t>
  </si>
  <si>
    <t>Rech Qual h.s. 3</t>
  </si>
  <si>
    <t>Combine topic modeling with semantic embedding</t>
  </si>
  <si>
    <t>Trans Knowl Data Eng 32(12)</t>
  </si>
  <si>
    <t>Diachronic word embeddings reveal statistical laws of semantic change</t>
  </si>
  <si>
    <t>Man is to computer programmer as woman is to housemaker? Debiasing word embeddings</t>
  </si>
  <si>
    <t>Word embeddings quantify 100 years of gender and ethnic stereotypes</t>
  </si>
  <si>
    <t>A team-based approach to open coding: Considerations for creating intercoder consensus</t>
  </si>
  <si>
    <t>Field Meth 31(2)</t>
  </si>
  <si>
    <t>Coding in-depth semistructured interviews: Problems of unitazation and intercoder reliability and agreement</t>
  </si>
  <si>
    <t>Soc Meth Res 42(3)</t>
  </si>
  <si>
    <t>Campbell et al.</t>
  </si>
  <si>
    <t xml:space="preserve">La mise au jour du contrat réflexif comme régulateur de démarches de recherche participative : le cas d'une recherche-action et d'une recherche collaborative </t>
  </si>
  <si>
    <t>Rech Ed 14</t>
  </si>
  <si>
    <t>La pratique réflexive interactionnelle : rapport entre la pratique réflexive et l'interaction verbale en formation initiale d'enseignants</t>
  </si>
  <si>
    <t>Can Jour New Schol Educ 2(1)</t>
  </si>
  <si>
    <t>Les abîmes de la réflexivité en sciences humaines et sociales</t>
  </si>
  <si>
    <t>Quest Comm 38</t>
  </si>
  <si>
    <t>Le blog de recherche comme journal de bord informatique: un soutien à la réflexivité</t>
  </si>
  <si>
    <t>Rech Qual h.s. 20</t>
  </si>
  <si>
    <t>Comment se projeter affectivement dans la modernité radicale: action collective, réflexivité, autonomie</t>
  </si>
  <si>
    <t>Rev Fran Sci Inf Comm 14</t>
  </si>
  <si>
    <t>Des image et des mots : Cognition et réflexivité dans la communication</t>
  </si>
  <si>
    <t>Rev Interdisc Huma 7</t>
  </si>
  <si>
    <t>Rendre visibles les traces d'interaction pour renforcer la réflexivité de l'utilisateur</t>
  </si>
  <si>
    <t>Les TIC comme miroir de la société : Une lecture pluridisciplinaire</t>
  </si>
  <si>
    <t>Pratiques collaboratives et réflexives autour de la conception des ressources de l'enseignement. Un nouveau regard sur les interactions enseignants/chercheurs</t>
  </si>
  <si>
    <t>Rech Educ 8(2)</t>
  </si>
  <si>
    <t>Dynamiques d'interaction et intelligencw collective en APP : Un regard sur la communication</t>
  </si>
  <si>
    <t>Rev Anal Prat Pro 13</t>
  </si>
  <si>
    <t>Tracking the creative process in music</t>
  </si>
  <si>
    <t>Mus Sci 20(3)</t>
  </si>
  <si>
    <t>Multidisciplinarity, interdisciplinarity and patterns of research collaboration in nanoscience and nanotechnology</t>
  </si>
  <si>
    <t>Scientometrics 59(3)</t>
  </si>
  <si>
    <t>Collin</t>
  </si>
  <si>
    <t>Measuring inter-rater reliability for nominal data: Which coefficients and confidence intervals are appropriate?</t>
  </si>
  <si>
    <t>BMC Med Res Meth 16</t>
  </si>
  <si>
    <t>Prune once for all: Sparse pre-trained lamguage models</t>
  </si>
  <si>
    <t>ENLSP Neur IPS</t>
  </si>
  <si>
    <t>Attention is all you need</t>
  </si>
  <si>
    <t>Adv Neur Inf Proc Syst</t>
  </si>
  <si>
    <t>Quaderni 19(1)</t>
  </si>
  <si>
    <t>La réflexivité communicationnelle, processus facilitant la construction d'une autorité dans les espaces médiatisés participatifs</t>
  </si>
  <si>
    <t>Intercoder reliability in qualitative research: Debates and practical guidelines</t>
  </si>
  <si>
    <t>Int Jour Qual Meth</t>
  </si>
  <si>
    <t>Algorithmic rationality: Epistemology and efficiency in the data sciences</t>
  </si>
  <si>
    <t>Big Dat Soc</t>
  </si>
  <si>
    <t>Measuring global oil trade dependencies: An application of the point-wise mutual information method</t>
  </si>
  <si>
    <t>Ener Pol 88</t>
  </si>
  <si>
    <t>Speech and language processing</t>
  </si>
  <si>
    <t>LSTM: A search space odyssey</t>
  </si>
  <si>
    <t>Trans Neur Net Learn Syst 28(10)</t>
  </si>
  <si>
    <t>Reporting bias and knowledge acquisition</t>
  </si>
  <si>
    <t>Aut Knowl Base Cons</t>
  </si>
  <si>
    <t>Causal inference in natural language processing: Estimation, prediction, interpretation and beyond</t>
  </si>
  <si>
    <t>An historical overview of natural language processing systems that learn</t>
  </si>
  <si>
    <t>Art Int Rev 8</t>
  </si>
  <si>
    <t>Inter-rater reliability in performances status assessment among health care professionals: A systematic review</t>
  </si>
  <si>
    <t>Ann Pall Med 5(2)</t>
  </si>
  <si>
    <t>Collaborative autoethnography</t>
  </si>
  <si>
    <t>Modeling temporal dependencies in high-dimensional sequences: Applications to polyphonic music generation and transcription</t>
  </si>
  <si>
    <t>Int Conf ML</t>
  </si>
  <si>
    <t>Jour ML Res 3</t>
  </si>
  <si>
    <t>Continuous speech recognition technologies</t>
  </si>
  <si>
    <t>Rec Dev Acous</t>
  </si>
  <si>
    <t>Crowdsourcing subjective tasks: The case study of understanding toxicity in online discussions</t>
  </si>
  <si>
    <t>Proc Conf Comp Mach</t>
  </si>
  <si>
    <t>Qualitative data analysis: Practical strategies</t>
  </si>
  <si>
    <t>Scopus/Citeseer</t>
  </si>
  <si>
    <t>Introduction to Atlas.ti: Basic operations, tips and tricks for coding</t>
  </si>
  <si>
    <t>Thematic networks: An analytic tool for qualitative research</t>
  </si>
  <si>
    <t>Beykikhoshk et al.</t>
  </si>
  <si>
    <t>Bengio et al.</t>
  </si>
  <si>
    <t>A neural probabilistic language model</t>
  </si>
  <si>
    <t>Évaluation des modèles de langage n-gram et multigram</t>
  </si>
  <si>
    <t>TALN</t>
  </si>
  <si>
    <t>Chiu et al.</t>
  </si>
  <si>
    <t>Understanding knowledge sharing in virtual communities: Integration of social capital and social cognitive sciences</t>
  </si>
  <si>
    <t>Dec Sup Syst 42(3)</t>
  </si>
  <si>
    <t>Beeferman et al.</t>
  </si>
  <si>
    <t>Statistical models for text segmentations</t>
  </si>
  <si>
    <t>ML 34</t>
  </si>
  <si>
    <t>Blech et al.</t>
  </si>
  <si>
    <t>Why do people fail to see simple solutions? Using think-aloud protocols to uncover the mechanism behind the mental set effect</t>
  </si>
  <si>
    <t>Think Reas 26(4)</t>
  </si>
  <si>
    <t>Chen et al.</t>
  </si>
  <si>
    <t>Joint model for subsentence-level sentiment analysis with markov logic</t>
  </si>
  <si>
    <t>Jour Ass Inf Sci Tech 66(9)</t>
  </si>
  <si>
    <t>How do initial ideas evolve into final ones? Exploring the cognitive size, structure and life of ideas using sticky notes</t>
  </si>
  <si>
    <t>Sticky Creativity</t>
  </si>
  <si>
    <t>Machine-learning media bias</t>
  </si>
  <si>
    <t>Dorais</t>
  </si>
  <si>
    <t>Diversité et créativité en recherche qualitative</t>
  </si>
  <si>
    <t>Ser Soc 42(2)</t>
  </si>
  <si>
    <t>Dyke et al.</t>
  </si>
  <si>
    <t>Enhancing scientific reasoning and discussion with conversational agents</t>
  </si>
  <si>
    <t>Trans Learn Tech 6(3)</t>
  </si>
  <si>
    <t>Verbal reports as data</t>
  </si>
  <si>
    <t>Psy Rev 87(3)</t>
  </si>
  <si>
    <t>Introspection and verbal reports on cognitive processes</t>
  </si>
  <si>
    <t>New Id Psy 9(1)</t>
  </si>
  <si>
    <t>Type</t>
  </si>
  <si>
    <t>hI</t>
  </si>
  <si>
    <t>Grounded theory research: Procedures, canons, and evaluative criteria</t>
  </si>
  <si>
    <t>Qual Soc 13</t>
  </si>
  <si>
    <t xml:space="preserve">Weighted kappa: nominal scale agreement provision for scaled disagreement or partial credit </t>
  </si>
  <si>
    <t>Psy Bull 70(4)</t>
  </si>
  <si>
    <t>Paradigmes expérimentaux en psychologie cognitive des émotions</t>
  </si>
  <si>
    <t xml:space="preserve">Psychopathologie et neurosciences </t>
  </si>
  <si>
    <t>Cairn</t>
  </si>
  <si>
    <t>Taylor &amp; Francis</t>
  </si>
  <si>
    <t>Sage</t>
  </si>
  <si>
    <t>Springer</t>
  </si>
  <si>
    <t>Fleiss</t>
  </si>
  <si>
    <t>Measuring nominal scale agreement among many raters</t>
  </si>
  <si>
    <t>Psy Bull 76(5)</t>
  </si>
  <si>
    <t>Data from qualitative research</t>
  </si>
  <si>
    <t>Carrying out investigations in psychology: Methods and Statistics</t>
  </si>
  <si>
    <t>Relationships  between comprehension, strategic behaviours and content-related aspects of test performances in integrated speaking tasks</t>
  </si>
  <si>
    <t>Lang Ass Quat 18(2)</t>
  </si>
  <si>
    <t>Theoretical sensitivity: Advances in the methodology of grounded theory</t>
  </si>
  <si>
    <t xml:space="preserve">Conceptualization: On theory and theorizing using grounded theory </t>
  </si>
  <si>
    <t>Int Jour Qual Meth 1(2)</t>
  </si>
  <si>
    <t>Gosh et al.</t>
  </si>
  <si>
    <t>An exploratory study on how to improve bedside change-of-shift process: Evidence from one hospital using technology to support verbal reporting</t>
  </si>
  <si>
    <t>P</t>
  </si>
  <si>
    <t>Int Conf Sys Sci</t>
  </si>
  <si>
    <t>Johri</t>
  </si>
  <si>
    <t>Artificial intelligence and engineering education</t>
  </si>
  <si>
    <t>Res Jour eng ed 109(3)</t>
  </si>
  <si>
    <t>How to gauge the relevance of codes in qualitative data analysis? A technique based on information retrieval</t>
  </si>
  <si>
    <t xml:space="preserve">Wirt ang Inf </t>
  </si>
  <si>
    <t>Measuring the reliability of qualitative text analysis data</t>
  </si>
  <si>
    <t>Qual Quant 38</t>
  </si>
  <si>
    <t>Strauss</t>
  </si>
  <si>
    <t>Reliability and Inter-rater Reliability in Qualitative Research: Norms and Guidelines for CSCW and HCI Practice</t>
  </si>
  <si>
    <t>Aca Comp Mac 3</t>
  </si>
  <si>
    <t>Qualitative data analysis: An expended sourcebook</t>
  </si>
  <si>
    <t>Qualitative evaluation and research methods</t>
  </si>
  <si>
    <t>Disjunction errors in qualitative likelihood judgment</t>
  </si>
  <si>
    <t>Org Behav &amp; Hum Dec Proc 44(3)</t>
  </si>
  <si>
    <t>Basic content analysis</t>
  </si>
  <si>
    <t>Active transfer learning for cross-system recommendation</t>
  </si>
  <si>
    <t>Conf Art Int 27</t>
  </si>
  <si>
    <t>Gray</t>
  </si>
  <si>
    <t>Stong opposition: Frame-based resistance to collaboration</t>
  </si>
  <si>
    <t>Jour Com &amp; App Soc Psy 14</t>
  </si>
  <si>
    <t>Effects of deep neural networks on the perceived creative autonomy of a generative musical system</t>
  </si>
  <si>
    <t xml:space="preserve">Art Int &amp; Int Dig Ent 27 </t>
  </si>
  <si>
    <t>Alain &amp; Boëffard</t>
  </si>
  <si>
    <t>Alghamdi &amp; Alfalqi</t>
  </si>
  <si>
    <t>Blei &amp; Lafferty</t>
  </si>
  <si>
    <t>Braun &amp; Clarke</t>
  </si>
  <si>
    <t>Burton-Jones &amp; Lee</t>
  </si>
  <si>
    <t>Christensen &amp; Friis-Olivarius</t>
  </si>
  <si>
    <t>Corbin &amp; Strauss</t>
  </si>
  <si>
    <t>D'Alonzo &amp; Tegmark</t>
  </si>
  <si>
    <t>Donin &amp; Traube</t>
  </si>
  <si>
    <t>Douillez &amp; Philippot</t>
  </si>
  <si>
    <t>Ericsson &amp; Crutcher</t>
  </si>
  <si>
    <t>Ericsson &amp; Simon</t>
  </si>
  <si>
    <t>Foster &amp; Parker</t>
  </si>
  <si>
    <t>Gass &amp; Mackey</t>
  </si>
  <si>
    <t>Gordon &amp; Van Durme</t>
  </si>
  <si>
    <t>Grahle &amp; Hibbert</t>
  </si>
  <si>
    <t>Jurafsky &amp; Martin</t>
  </si>
  <si>
    <t>Kharrazi &amp; Fath</t>
  </si>
  <si>
    <t>Kuusela &amp; Paul</t>
  </si>
  <si>
    <t>Martin-Juchat &amp; Ménissier</t>
  </si>
  <si>
    <t>Miles &amp; Huberman</t>
  </si>
  <si>
    <t>O'Connor &amp; Joffe</t>
  </si>
  <si>
    <t>Ollagnier-Beldame &amp; Hulin</t>
  </si>
  <si>
    <t>Paillé &amp; Muchielli</t>
  </si>
  <si>
    <t>Smith &amp; Freeman</t>
  </si>
  <si>
    <t>Ties_value</t>
  </si>
  <si>
    <t>[3.56, 5.90]</t>
  </si>
  <si>
    <t>[1.06, 2.62]</t>
  </si>
  <si>
    <t>IC 95%</t>
  </si>
  <si>
    <r>
      <t>A</t>
    </r>
    <r>
      <rPr>
        <b/>
        <vertAlign val="subscript"/>
        <sz val="8"/>
        <color theme="1"/>
        <rFont val="Arial"/>
        <family val="2"/>
      </rPr>
      <t>i</t>
    </r>
  </si>
  <si>
    <r>
      <t>Y</t>
    </r>
    <r>
      <rPr>
        <b/>
        <vertAlign val="subscript"/>
        <sz val="8"/>
        <color theme="1"/>
        <rFont val="Arial"/>
        <family val="2"/>
      </rPr>
      <t>i</t>
    </r>
  </si>
  <si>
    <r>
      <t>C</t>
    </r>
    <r>
      <rPr>
        <b/>
        <vertAlign val="subscript"/>
        <sz val="8"/>
        <color theme="1"/>
        <rFont val="Arial"/>
        <family val="2"/>
      </rPr>
      <t>i</t>
    </r>
  </si>
  <si>
    <r>
      <t>&lt;h</t>
    </r>
    <r>
      <rPr>
        <b/>
        <vertAlign val="subscript"/>
        <sz val="8"/>
        <color theme="1"/>
        <rFont val="Arial"/>
        <family val="2"/>
      </rPr>
      <t>d</t>
    </r>
    <r>
      <rPr>
        <b/>
        <sz val="8"/>
        <color theme="1"/>
        <rFont val="Arial"/>
        <family val="2"/>
      </rPr>
      <t>&gt;</t>
    </r>
  </si>
  <si>
    <r>
      <t>h</t>
    </r>
    <r>
      <rPr>
        <b/>
        <vertAlign val="subscript"/>
        <sz val="8"/>
        <color theme="1"/>
        <rFont val="Arial"/>
        <family val="2"/>
      </rPr>
      <t>s</t>
    </r>
    <r>
      <rPr>
        <b/>
        <sz val="8"/>
        <color theme="1"/>
        <rFont val="Arial"/>
        <family val="2"/>
      </rPr>
      <t xml:space="preserve"> = hI/&lt;h</t>
    </r>
    <r>
      <rPr>
        <b/>
        <vertAlign val="subscript"/>
        <sz val="8"/>
        <color theme="1"/>
        <rFont val="Arial"/>
        <family val="2"/>
      </rPr>
      <t>d</t>
    </r>
    <r>
      <rPr>
        <b/>
        <sz val="8"/>
        <color theme="1"/>
        <rFont val="Arial"/>
        <family val="2"/>
      </rPr>
      <t>&gt;</t>
    </r>
  </si>
  <si>
    <r>
      <t>|S</t>
    </r>
    <r>
      <rPr>
        <b/>
        <vertAlign val="subscript"/>
        <sz val="8"/>
        <color theme="1"/>
        <rFont val="Arial"/>
        <family val="2"/>
      </rPr>
      <t xml:space="preserve">l </t>
    </r>
    <r>
      <rPr>
        <b/>
        <sz val="8"/>
        <color theme="1"/>
        <rFont val="Arial"/>
        <family val="2"/>
      </rPr>
      <t>- h</t>
    </r>
    <r>
      <rPr>
        <b/>
        <vertAlign val="subscript"/>
        <sz val="8"/>
        <color theme="1"/>
        <rFont val="Arial"/>
        <family val="2"/>
      </rPr>
      <t>s</t>
    </r>
    <r>
      <rPr>
        <b/>
        <sz val="8"/>
        <color theme="1"/>
        <rFont val="Arial"/>
        <family val="2"/>
      </rPr>
      <t>|</t>
    </r>
    <r>
      <rPr>
        <b/>
        <vertAlign val="subscript"/>
        <sz val="8"/>
        <color theme="1"/>
        <rFont val="Arial"/>
        <family val="2"/>
      </rPr>
      <t>norm[0,1]</t>
    </r>
  </si>
  <si>
    <r>
      <t>μ</t>
    </r>
    <r>
      <rPr>
        <b/>
        <vertAlign val="subscript"/>
        <sz val="8"/>
        <color theme="1"/>
        <rFont val="Arial"/>
        <family val="2"/>
      </rPr>
      <t>S</t>
    </r>
  </si>
  <si>
    <r>
      <t>μ</t>
    </r>
    <r>
      <rPr>
        <b/>
        <vertAlign val="subscript"/>
        <sz val="8"/>
        <color theme="1"/>
        <rFont val="Arial"/>
        <family val="2"/>
      </rPr>
      <t>h</t>
    </r>
  </si>
  <si>
    <r>
      <t>σ</t>
    </r>
    <r>
      <rPr>
        <b/>
        <vertAlign val="subscript"/>
        <sz val="8"/>
        <color theme="1"/>
        <rFont val="Arial"/>
        <family val="2"/>
      </rPr>
      <t>S</t>
    </r>
  </si>
  <si>
    <r>
      <t>σ</t>
    </r>
    <r>
      <rPr>
        <b/>
        <vertAlign val="subscript"/>
        <sz val="8"/>
        <color theme="1"/>
        <rFont val="Arial"/>
        <family val="2"/>
      </rPr>
      <t>h</t>
    </r>
  </si>
  <si>
    <t>Titre</t>
  </si>
  <si>
    <t>Base de données</t>
  </si>
  <si>
    <t>Publication</t>
  </si>
  <si>
    <r>
      <t>S</t>
    </r>
    <r>
      <rPr>
        <b/>
        <vertAlign val="subscript"/>
        <sz val="8"/>
        <color theme="1"/>
        <rFont val="Arial"/>
        <family val="2"/>
      </rPr>
      <t xml:space="preserve">l </t>
    </r>
  </si>
  <si>
    <t>Signe</t>
  </si>
  <si>
    <t>Rang</t>
  </si>
  <si>
    <t>Classe</t>
  </si>
  <si>
    <t>Test paires de rangs signés de Wilcoxon</t>
  </si>
  <si>
    <t>Entropie de citation</t>
  </si>
  <si>
    <t>h-index standardisé</t>
  </si>
  <si>
    <r>
      <t xml:space="preserve">IC 95%    </t>
    </r>
    <r>
      <rPr>
        <sz val="8"/>
        <color theme="1"/>
        <rFont val="Arial"/>
        <family val="2"/>
      </rPr>
      <t xml:space="preserve"> </t>
    </r>
  </si>
  <si>
    <t>[2473.5, 2576.5]</t>
  </si>
  <si>
    <t>Descripteur</t>
  </si>
  <si>
    <t>Ethnographie des organisations et des processus créateurs / réflexivité</t>
  </si>
  <si>
    <t>Analyse de contenus / Techniques</t>
  </si>
  <si>
    <t>Analyse de contenus / Collaboration</t>
  </si>
  <si>
    <t>Analyse de contenus / Évaluation</t>
  </si>
  <si>
    <t>NLP / Modélisation</t>
  </si>
  <si>
    <t>NLP / Évaluation</t>
  </si>
  <si>
    <t>Sociologie / Philosophie de l'intelligence artificielle</t>
  </si>
  <si>
    <t>Index classe</t>
  </si>
  <si>
    <t>Signification du test de Wilcoxon</t>
  </si>
  <si>
    <t>Noms des auteur.e.s</t>
  </si>
  <si>
    <t>Qt  docs</t>
  </si>
  <si>
    <t>Synthèse</t>
  </si>
  <si>
    <t>Statistique d'association</t>
  </si>
  <si>
    <t>Statistique de classification</t>
  </si>
  <si>
    <r>
      <t>W</t>
    </r>
    <r>
      <rPr>
        <sz val="8"/>
        <color theme="1"/>
        <rFont val="Arial"/>
        <family val="2"/>
      </rPr>
      <t xml:space="preserve"> = min(T</t>
    </r>
    <r>
      <rPr>
        <vertAlign val="subscript"/>
        <sz val="8"/>
        <color theme="1"/>
        <rFont val="Arial"/>
        <family val="2"/>
      </rPr>
      <t>-</t>
    </r>
    <r>
      <rPr>
        <sz val="8"/>
        <color theme="1"/>
        <rFont val="Arial"/>
        <family val="2"/>
      </rPr>
      <t>,T</t>
    </r>
    <r>
      <rPr>
        <vertAlign val="subscript"/>
        <sz val="8"/>
        <color theme="1"/>
        <rFont val="Arial"/>
        <family val="2"/>
      </rPr>
      <t>+</t>
    </r>
    <r>
      <rPr>
        <sz val="8"/>
        <color theme="1"/>
        <rFont val="Arial"/>
        <family val="2"/>
      </rPr>
      <t>)</t>
    </r>
  </si>
  <si>
    <r>
      <t>μ</t>
    </r>
    <r>
      <rPr>
        <b/>
        <vertAlign val="subscript"/>
        <sz val="8"/>
        <color theme="1"/>
        <rFont val="Arial"/>
        <family val="2"/>
      </rPr>
      <t>W</t>
    </r>
    <r>
      <rPr>
        <sz val="8"/>
        <color theme="1"/>
        <rFont val="Arial"/>
        <family val="2"/>
      </rPr>
      <t xml:space="preserve"> = n*(n+)/4</t>
    </r>
  </si>
  <si>
    <r>
      <t>σ</t>
    </r>
    <r>
      <rPr>
        <b/>
        <vertAlign val="subscript"/>
        <sz val="8"/>
        <color theme="1"/>
        <rFont val="Arial"/>
        <family val="2"/>
      </rPr>
      <t>W</t>
    </r>
    <r>
      <rPr>
        <sz val="8"/>
        <color theme="1"/>
        <rFont val="Arial"/>
        <family val="2"/>
      </rPr>
      <t xml:space="preserve"> = sqrt((n*(n+1)*(2n+1)-Ties_value) / 24)</t>
    </r>
  </si>
  <si>
    <r>
      <t>z</t>
    </r>
    <r>
      <rPr>
        <sz val="8"/>
        <color theme="1"/>
        <rFont val="Arial"/>
        <family val="2"/>
      </rPr>
      <t xml:space="preserve"> = (W - μ</t>
    </r>
    <r>
      <rPr>
        <vertAlign val="subscript"/>
        <sz val="8"/>
        <color theme="1"/>
        <rFont val="Arial"/>
        <family val="2"/>
      </rPr>
      <t>W</t>
    </r>
    <r>
      <rPr>
        <sz val="8"/>
        <color theme="1"/>
        <rFont val="Arial"/>
        <family val="2"/>
      </rPr>
      <t>) / σ</t>
    </r>
    <r>
      <rPr>
        <vertAlign val="subscript"/>
        <sz val="8"/>
        <color theme="1"/>
        <rFont val="Arial"/>
        <family val="2"/>
      </rPr>
      <t>W</t>
    </r>
  </si>
  <si>
    <r>
      <rPr>
        <b/>
        <i/>
        <sz val="8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>-value</t>
    </r>
    <r>
      <rPr>
        <sz val="8"/>
        <color theme="1"/>
        <rFont val="Arial"/>
        <family val="2"/>
      </rPr>
      <t xml:space="preserve"> (W&lt;μ</t>
    </r>
    <r>
      <rPr>
        <vertAlign val="subscript"/>
        <sz val="8"/>
        <color theme="1"/>
        <rFont val="Arial"/>
        <family val="2"/>
      </rPr>
      <t>W</t>
    </r>
    <r>
      <rPr>
        <sz val="8"/>
        <color theme="1"/>
        <rFont val="Arial"/>
        <family val="2"/>
      </rPr>
      <t>|H</t>
    </r>
    <r>
      <rPr>
        <vertAlign val="subscript"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>, α=0.05)</t>
    </r>
  </si>
  <si>
    <t>Qt docs</t>
  </si>
  <si>
    <r>
      <rPr>
        <b/>
        <sz val="18"/>
        <color rgb="FF0070C0"/>
        <rFont val="Arial"/>
        <family val="2"/>
      </rPr>
      <t>Étude de la portée</t>
    </r>
    <r>
      <rPr>
        <b/>
        <sz val="18"/>
        <color theme="1"/>
        <rFont val="Arial"/>
        <family val="2"/>
      </rPr>
      <t xml:space="preserve"> - </t>
    </r>
    <r>
      <rPr>
        <sz val="18"/>
        <color theme="1"/>
        <rFont val="Arial"/>
        <family val="2"/>
      </rPr>
      <t>Données bibliométriques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</si>
</sst>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bscript"/>
      <sz val="9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vertAlign val="subscript"/>
      <sz val="8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0070C0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0" fontId="5" fillId="0" borderId="1" xfId="0" applyFont="1" applyBorder="1"/>
    <xf numFmtId="2" fontId="4" fillId="0" borderId="2" xfId="0" applyNumberFormat="1" applyFont="1" applyBorder="1"/>
    <xf numFmtId="0" fontId="5" fillId="0" borderId="3" xfId="0" applyFont="1" applyBorder="1"/>
    <xf numFmtId="2" fontId="4" fillId="0" borderId="4" xfId="0" applyNumberFormat="1" applyFont="1" applyBorder="1"/>
    <xf numFmtId="0" fontId="5" fillId="0" borderId="5" xfId="0" applyFont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4" xfId="0" applyFont="1" applyBorder="1"/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2" fontId="4" fillId="0" borderId="6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2" fontId="5" fillId="0" borderId="0" xfId="0" applyNumberFormat="1" applyFont="1"/>
    <xf numFmtId="0" fontId="5" fillId="0" borderId="7" xfId="0" applyFont="1" applyBorder="1" applyAlignment="1">
      <alignment horizontal="center"/>
    </xf>
    <xf numFmtId="0" fontId="4" fillId="0" borderId="7" xfId="0" applyFont="1" applyBorder="1"/>
    <xf numFmtId="0" fontId="5" fillId="0" borderId="7" xfId="0" applyFont="1" applyBorder="1" applyAlignment="1">
      <alignment horizontal="left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/>
    </xf>
    <xf numFmtId="0" fontId="4" fillId="0" borderId="0" xfId="0" pivotButton="1" applyFont="1"/>
    <xf numFmtId="0" fontId="4" fillId="0" borderId="0" xfId="0" applyFont="1" applyAlignment="1">
      <alignment horizontal="left" wrapText="1"/>
    </xf>
    <xf numFmtId="2" fontId="5" fillId="2" borderId="0" xfId="0" applyNumberFormat="1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[ScopeReview_Stats.xlsx]Étude_Données!PivotTable2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/>
              <a:t>Qt docs / Base de données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Étude_Données!$T$30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Étude_Données!$S$31:$S$37</c:f>
              <c:strCache>
                <c:ptCount val="7"/>
                <c:pt idx="0">
                  <c:v>Arxiv</c:v>
                </c:pt>
                <c:pt idx="1">
                  <c:v>Cairn</c:v>
                </c:pt>
                <c:pt idx="2">
                  <c:v>Elsevier</c:v>
                </c:pt>
                <c:pt idx="3">
                  <c:v>Sage</c:v>
                </c:pt>
                <c:pt idx="4">
                  <c:v>Scopus/Citeseer</c:v>
                </c:pt>
                <c:pt idx="5">
                  <c:v>Springer</c:v>
                </c:pt>
                <c:pt idx="6">
                  <c:v>Taylor &amp; Francis</c:v>
                </c:pt>
              </c:strCache>
            </c:strRef>
          </c:cat>
          <c:val>
            <c:numRef>
              <c:f>Étude_Données!$T$31:$T$37</c:f>
              <c:numCache>
                <c:formatCode>General</c:formatCode>
                <c:ptCount val="7"/>
                <c:pt idx="0">
                  <c:v>13</c:v>
                </c:pt>
                <c:pt idx="1">
                  <c:v>3</c:v>
                </c:pt>
                <c:pt idx="2">
                  <c:v>15</c:v>
                </c:pt>
                <c:pt idx="3">
                  <c:v>8</c:v>
                </c:pt>
                <c:pt idx="4">
                  <c:v>46</c:v>
                </c:pt>
                <c:pt idx="5">
                  <c:v>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C-4CCB-8FC0-CFDEDD803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4359328"/>
        <c:axId val="574356000"/>
      </c:barChart>
      <c:catAx>
        <c:axId val="57435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56000"/>
        <c:crosses val="autoZero"/>
        <c:auto val="1"/>
        <c:lblAlgn val="ctr"/>
        <c:lblOffset val="100"/>
        <c:noMultiLvlLbl val="0"/>
      </c:catAx>
      <c:valAx>
        <c:axId val="57435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5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609599</xdr:colOff>
      <xdr:row>29</xdr:row>
      <xdr:rowOff>0</xdr:rowOff>
    </xdr:from>
    <xdr:to>
      <xdr:col>22</xdr:col>
      <xdr:colOff>600074</xdr:colOff>
      <xdr:row>43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B69B5-BF48-4AA0-9248-A446E1DDD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" refreshedDate="44883.671291203704" createdVersion="8" refreshedVersion="8" minRefreshableVersion="3" recordCount="100" xr:uid="{2B1BEE9D-FA00-457A-A03F-C3357A58E26D}">
  <cacheSource type="worksheet">
    <worksheetSource ref="A3:Q103" sheet="Étude_Données"/>
  </cacheSource>
  <cacheFields count="17">
    <cacheField name="#" numFmtId="0">
      <sharedItems containsSemiMixedTypes="0" containsString="0" containsNumber="1" containsInteger="1" minValue="1" maxValue="100"/>
    </cacheField>
    <cacheField name="Noms des auteurs" numFmtId="0">
      <sharedItems/>
    </cacheField>
    <cacheField name="Ai" numFmtId="0">
      <sharedItems containsSemiMixedTypes="0" containsString="0" containsNumber="1" containsInteger="1" minValue="1" maxValue="10"/>
    </cacheField>
    <cacheField name="Yi" numFmtId="0">
      <sharedItems containsSemiMixedTypes="0" containsString="0" containsNumber="1" containsInteger="1" minValue="1968" maxValue="2021"/>
    </cacheField>
    <cacheField name="Titre" numFmtId="0">
      <sharedItems/>
    </cacheField>
    <cacheField name="Publication" numFmtId="0">
      <sharedItems containsBlank="1"/>
    </cacheField>
    <cacheField name="Base de données" numFmtId="0">
      <sharedItems count="7">
        <s v="Elsevier"/>
        <s v="Scopus/Citeseer"/>
        <s v="Arxiv"/>
        <s v="Taylor &amp; Francis"/>
        <s v="Sage"/>
        <s v="Springer"/>
        <s v="Cairn"/>
      </sharedItems>
    </cacheField>
    <cacheField name="Type" numFmtId="0">
      <sharedItems/>
    </cacheField>
    <cacheField name="Ci" numFmtId="0">
      <sharedItems containsSemiMixedTypes="0" containsString="0" containsNumber="1" containsInteger="1" minValue="79" maxValue="5993"/>
    </cacheField>
    <cacheField name="Sl " numFmtId="2">
      <sharedItems containsSemiMixedTypes="0" containsString="0" containsNumber="1" minValue="2.8445100346135836" maxValue="6.3205679754828568"/>
    </cacheField>
    <cacheField name="hI" numFmtId="0">
      <sharedItems containsSemiMixedTypes="0" containsString="0" containsNumber="1" containsInteger="1" minValue="9" maxValue="49"/>
    </cacheField>
    <cacheField name="&lt;hd&gt;" numFmtId="0">
      <sharedItems containsSemiMixedTypes="0" containsString="0" containsNumber="1" minValue="9" maxValue="23.47"/>
    </cacheField>
    <cacheField name="hs = hI/&lt;hd&gt;" numFmtId="2">
      <sharedItems containsSemiMixedTypes="0" containsString="0" containsNumber="1" minValue="1" maxValue="3.1111111111111112"/>
    </cacheField>
    <cacheField name="|Sl - hs|norm[0,1]" numFmtId="2">
      <sharedItems containsSemiMixedTypes="0" containsString="0" containsNumber="1" minValue="1.7382375933703356E-3" maxValue="0.54422952264335311"/>
    </cacheField>
    <cacheField name="Signe" numFmtId="1">
      <sharedItems containsSemiMixedTypes="0" containsString="0" containsNumber="1" containsInteger="1" minValue="-1" maxValue="1"/>
    </cacheField>
    <cacheField name="Rang" numFmtId="0">
      <sharedItems containsSemiMixedTypes="0" containsString="0" containsNumber="1" minValue="1" maxValue="100"/>
    </cacheField>
    <cacheField name="Classe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Alain &amp; Boëffard"/>
    <n v="2"/>
    <n v="2005"/>
    <s v="Évaluation des modèles de langage n-gram et multigram"/>
    <s v="TALN"/>
    <x v="0"/>
    <s v="A"/>
    <n v="740"/>
    <n v="4.0802896615820536"/>
    <n v="18"/>
    <n v="15.79"/>
    <n v="1.1399620012666245"/>
    <n v="0.22935705282256458"/>
    <n v="1"/>
    <n v="19"/>
    <n v="6"/>
  </r>
  <r>
    <n v="2"/>
    <s v="Alghamdi &amp; Alfalqi"/>
    <n v="2"/>
    <n v="2015"/>
    <s v="Survey of topic modeling in text mining"/>
    <s v="Int Jour Adv Comp Sci App 6(1)"/>
    <x v="1"/>
    <s v="A"/>
    <n v="187"/>
    <n v="3.592051287239328"/>
    <n v="34"/>
    <n v="15.79"/>
    <n v="2.1532615579480687"/>
    <n v="0.21301138918091486"/>
    <n v="-1"/>
    <n v="91"/>
    <n v="5"/>
  </r>
  <r>
    <n v="3"/>
    <s v="Angelov"/>
    <n v="1"/>
    <n v="2020"/>
    <s v="Top2Vec: Distributed representations of topics"/>
    <s v="Inf Syst Res 28(3)"/>
    <x v="2"/>
    <s v="A"/>
    <n v="398"/>
    <n v="6.2933048247244923"/>
    <n v="37"/>
    <n v="15.79"/>
    <n v="2.3432552248258394"/>
    <n v="0.1478174438369019"/>
    <n v="1"/>
    <n v="49.5"/>
    <n v="5"/>
  </r>
  <r>
    <n v="4"/>
    <s v="Archer"/>
    <n v="1"/>
    <n v="2018"/>
    <s v="Qualitative data analysis: A primer on core approaches"/>
    <m/>
    <x v="1"/>
    <s v="A"/>
    <n v="278"/>
    <n v="5.2413267525707461"/>
    <n v="18"/>
    <n v="9"/>
    <n v="2"/>
    <n v="0.10423103490067971"/>
    <n v="1"/>
    <n v="49.5"/>
    <n v="2"/>
  </r>
  <r>
    <n v="5"/>
    <s v="Archer et al."/>
    <n v="3"/>
    <n v="2017"/>
    <s v="Introduction to Atlas.ti: Basic operations, tips and tricks for coding"/>
    <m/>
    <x v="1"/>
    <s v="C"/>
    <n v="716"/>
    <n v="4.8656299658584352"/>
    <n v="18"/>
    <n v="9"/>
    <n v="2"/>
    <n v="4.4533181836847215E-2"/>
    <n v="1"/>
    <n v="60.5"/>
    <n v="2"/>
  </r>
  <r>
    <n v="6"/>
    <s v="Aroyo et al."/>
    <n v="5"/>
    <n v="2019"/>
    <s v="Crowdsourcing subjective tasks: The case study of understanding toxicity in online discussions"/>
    <s v="Proc Conf Comp Mach"/>
    <x v="1"/>
    <s v="A"/>
    <n v="751"/>
    <n v="4.9133554506619248"/>
    <n v="20"/>
    <n v="9"/>
    <n v="2.2222222222222223"/>
    <n v="2.788328516535641E-2"/>
    <n v="-1"/>
    <n v="70.5"/>
    <n v="2"/>
  </r>
  <r>
    <n v="7"/>
    <s v="Attride-Stirling"/>
    <n v="1"/>
    <n v="2001"/>
    <s v="Thematic networks: An analytic tool for qualitative research"/>
    <m/>
    <x v="1"/>
    <s v="A"/>
    <n v="1169"/>
    <n v="5.0193815237486454"/>
    <n v="19"/>
    <n v="9"/>
    <n v="2.1111111111111112"/>
    <n v="2.8964154461304667E-2"/>
    <n v="1"/>
    <n v="62.5"/>
    <n v="4"/>
  </r>
  <r>
    <n v="8"/>
    <s v="Barkaoui"/>
    <n v="1"/>
    <n v="2011"/>
    <s v="Think-aloud protocols in research on essay rating: An empirical study of their veridicality and reactivity"/>
    <s v="Lang Test 28(1)"/>
    <x v="1"/>
    <s v="A"/>
    <n v="367"/>
    <n v="4.5074665752562"/>
    <n v="24"/>
    <n v="12.18"/>
    <n v="1.9704433497536946"/>
    <n v="1.7382375933703356E-3"/>
    <n v="-1"/>
    <n v="65"/>
    <n v="4"/>
  </r>
  <r>
    <n v="9"/>
    <s v="Bazeley"/>
    <n v="1"/>
    <n v="2013"/>
    <s v="Qualitative data analysis: Practical strategies"/>
    <m/>
    <x v="1"/>
    <s v="A"/>
    <n v="475"/>
    <n v="4.9660902266984213"/>
    <n v="17"/>
    <n v="9"/>
    <n v="1.8888888888888888"/>
    <n v="0.10049621932476743"/>
    <n v="1"/>
    <n v="44"/>
    <n v="2"/>
  </r>
  <r>
    <n v="10"/>
    <s v="Bednarz et al."/>
    <n v="4"/>
    <n v="2012"/>
    <s v="La mise au jour du contrat réflexif comme régulateur de démarches de recherche participative : le cas d'une recherche-action et d'une recherche collaborative "/>
    <s v="Rech Ed 14"/>
    <x v="0"/>
    <s v="A"/>
    <n v="253"/>
    <n v="2.8445100346135836"/>
    <n v="18"/>
    <n v="9"/>
    <n v="2"/>
    <n v="0.27662080442876036"/>
    <n v="-1"/>
    <n v="93"/>
    <n v="4"/>
  </r>
  <r>
    <n v="11"/>
    <s v="Beeferman et al."/>
    <n v="3"/>
    <n v="1999"/>
    <s v="Statistical models for text segmentations"/>
    <s v="ML 34"/>
    <x v="1"/>
    <s v="A"/>
    <n v="1087"/>
    <n v="3.75707038252395"/>
    <n v="27"/>
    <n v="15.79"/>
    <n v="1.7099430018999369"/>
    <n v="2.7195335674218044E-2"/>
    <n v="-1"/>
    <n v="65"/>
    <n v="5"/>
  </r>
  <r>
    <n v="12"/>
    <s v="Bengio et al."/>
    <n v="4"/>
    <n v="2003"/>
    <s v="A neural probabilistic language model"/>
    <s v="Jour ML Res 3"/>
    <x v="1"/>
    <s v="A"/>
    <n v="3864"/>
    <n v="4.9287248550460774"/>
    <n v="40"/>
    <n v="15.79"/>
    <n v="2.53324889170361"/>
    <n v="0.13741070280883558"/>
    <n v="-1"/>
    <n v="90"/>
    <n v="5"/>
  </r>
  <r>
    <n v="13"/>
    <s v="Beykikhoshk et al."/>
    <n v="4"/>
    <n v="2018"/>
    <s v="Discovering topic structures of a temporally evolving document corpus"/>
    <s v="Knowl Inf Syst 55"/>
    <x v="1"/>
    <s v="A"/>
    <n v="163"/>
    <n v="3.3211614785669812"/>
    <n v="31"/>
    <n v="15.79"/>
    <n v="1.9632678910702979"/>
    <n v="0.18765779555626969"/>
    <n v="-1"/>
    <n v="87"/>
    <n v="5"/>
  </r>
  <r>
    <n v="14"/>
    <s v="Bhatt et al."/>
    <n v="3"/>
    <n v="2021"/>
    <s v="Continuous speech recognition technologies"/>
    <s v="Rec Dev Acous"/>
    <x v="1"/>
    <s v="A"/>
    <n v="81"/>
    <n v="4.2958368660043291"/>
    <n v="33"/>
    <n v="15.79"/>
    <n v="2.0899303356554784"/>
    <n v="7.838130695641847E-2"/>
    <n v="-1"/>
    <n v="77.5"/>
    <n v="5"/>
  </r>
  <r>
    <n v="15"/>
    <s v="Blair"/>
    <n v="1"/>
    <n v="2015"/>
    <s v="A reflexive exploration of two qualitative data coding techniques"/>
    <s v="Jour Meth Meas Soc Sci 6(1)"/>
    <x v="1"/>
    <s v="A"/>
    <n v="287"/>
    <n v="4.713572066704308"/>
    <n v="17"/>
    <n v="9"/>
    <n v="1.8888888888888888"/>
    <n v="6.0371329934054016E-2"/>
    <n v="1"/>
    <n v="58"/>
    <n v="2"/>
  </r>
  <r>
    <n v="16"/>
    <s v="Blech et al."/>
    <n v="3"/>
    <n v="2019"/>
    <s v="Why do people fail to see simple solutions? Using think-aloud protocols to uncover the mechanism behind the mental set effect"/>
    <s v="Think Reas 26(4)"/>
    <x v="1"/>
    <s v="A"/>
    <n v="619"/>
    <n v="5.2308806953483762"/>
    <n v="32"/>
    <n v="17.97"/>
    <n v="1.7807456872565388"/>
    <n v="0.1815027191817199"/>
    <n v="1"/>
    <n v="22.5"/>
    <n v="2"/>
  </r>
  <r>
    <n v="17"/>
    <s v="Blei &amp; Lafferty"/>
    <n v="2"/>
    <n v="2005"/>
    <s v="Correlated topic models"/>
    <s v="Jour ML Res 3"/>
    <x v="2"/>
    <s v="A"/>
    <n v="1549"/>
    <n v="4.8190043158007079"/>
    <n v="36"/>
    <n v="15.79"/>
    <n v="2.279924002533249"/>
    <n v="6.3648229404274337E-2"/>
    <n v="-1"/>
    <n v="80"/>
    <n v="5"/>
  </r>
  <r>
    <n v="18"/>
    <s v="Bolukbasi et al."/>
    <n v="5"/>
    <n v="2016"/>
    <s v="Man is to computer programmer as woman is to housemaker? Debiasing word embeddings"/>
    <s v="Adv Neur Inf Proc Syst"/>
    <x v="2"/>
    <s v="A"/>
    <n v="1082"/>
    <n v="4.5853690777442715"/>
    <n v="34"/>
    <n v="15.79"/>
    <n v="2.1532615579480687"/>
    <n v="5.5174160861304743E-2"/>
    <n v="-1"/>
    <n v="73"/>
    <n v="7"/>
  </r>
  <r>
    <n v="19"/>
    <s v="Boulanger-Lewandowski et al."/>
    <n v="3"/>
    <n v="2012"/>
    <s v="Modeling temporal dependencies in high-dimensional sequences: Applications to polyphonic music generation and transcription"/>
    <s v="Int Conf ML"/>
    <x v="2"/>
    <s v="A"/>
    <n v="449"/>
    <n v="3.7058255060800991"/>
    <n v="32"/>
    <n v="15.79"/>
    <n v="2.026599113362888"/>
    <n v="0.14933429669854512"/>
    <n v="-1"/>
    <n v="86"/>
    <n v="5"/>
  </r>
  <r>
    <n v="20"/>
    <s v="Braun &amp; Clarke"/>
    <n v="2"/>
    <n v="2006"/>
    <s v="Using thematic analysis in psychology"/>
    <s v="Qual Res Psy 3(2)"/>
    <x v="3"/>
    <s v="A"/>
    <n v="1265"/>
    <n v="4.6770914983618939"/>
    <n v="28"/>
    <n v="17.97"/>
    <n v="1.5581524763494714"/>
    <n v="0.17363971171111042"/>
    <n v="1"/>
    <n v="15"/>
    <n v="2"/>
  </r>
  <r>
    <n v="21"/>
    <s v="Burton-Jones &amp; Lee"/>
    <n v="2"/>
    <n v="2017"/>
    <s v="Thinking about measures and measurement in positivist research: A proposal for refocusing on fundamentals"/>
    <s v="Inf Syst Res 28(3)"/>
    <x v="1"/>
    <s v="A"/>
    <n v="283"/>
    <n v="4.3428618046491918"/>
    <n v="23"/>
    <n v="9"/>
    <n v="2.5555555555555554"/>
    <n v="0.23853416922414777"/>
    <n v="-1"/>
    <n v="96"/>
    <n v="4"/>
  </r>
  <r>
    <n v="22"/>
    <s v="Campbell et al."/>
    <n v="4"/>
    <n v="2013"/>
    <s v="Coding in-depth semistructured interviews: Problems of unitazation and intercoder reliability and agreement"/>
    <s v="Soc Meth Res 42(3)"/>
    <x v="4"/>
    <s v="A"/>
    <n v="578"/>
    <n v="3.7760549302162674"/>
    <n v="18"/>
    <n v="9"/>
    <n v="2"/>
    <n v="0.12859922887390635"/>
    <n v="-1"/>
    <n v="83"/>
    <n v="4"/>
  </r>
  <r>
    <n v="23"/>
    <s v="Cascio et al."/>
    <n v="4"/>
    <n v="2020"/>
    <s v="A team-based approach to open coding: Considerations for creating intercoder consensus"/>
    <s v="Field Meth 31(2)"/>
    <x v="4"/>
    <s v="A"/>
    <n v="89"/>
    <n v="3.4091948280523039"/>
    <n v="21"/>
    <n v="9"/>
    <n v="2.3333333333333335"/>
    <n v="0.30689294137972389"/>
    <n v="-1"/>
    <n v="98"/>
    <n v="3"/>
  </r>
  <r>
    <n v="24"/>
    <s v="Chang et al."/>
    <n v="3"/>
    <n v="2017"/>
    <s v="Collaborative autoethnography"/>
    <s v="Collaborative autoethnography"/>
    <x v="3"/>
    <s v="C"/>
    <n v="464"/>
    <n v="4.4318343511240457"/>
    <n v="22"/>
    <n v="9"/>
    <n v="2.4444444444444446"/>
    <n v="0.18439651834709084"/>
    <n v="-1"/>
    <n v="92"/>
    <n v="3"/>
  </r>
  <r>
    <n v="25"/>
    <s v="Chen et al."/>
    <n v="6"/>
    <n v="2015"/>
    <s v="Joint model for subsentence-level sentiment analysis with markov logic"/>
    <s v="Jour Ass Inf Sci Tech 66(9)"/>
    <x v="1"/>
    <s v="A"/>
    <n v="849"/>
    <n v="4.0063895680279789"/>
    <n v="28"/>
    <n v="15.79"/>
    <n v="1.773274224192527"/>
    <n v="1.0378000235967508E-2"/>
    <n v="-1"/>
    <n v="62.5"/>
    <n v="5"/>
  </r>
  <r>
    <n v="26"/>
    <s v="Chen et Lin"/>
    <n v="2"/>
    <n v="2021"/>
    <s v="Effects of peer collaboration on EFL larners' comprehension of conversational implicatures"/>
    <s v="Syst 97"/>
    <x v="0"/>
    <s v="A"/>
    <n v="139"/>
    <n v="5.2413267525707461"/>
    <n v="19"/>
    <n v="12.18"/>
    <n v="1.5599343185550083"/>
    <n v="0.26265468022087674"/>
    <n v="1"/>
    <n v="12"/>
    <n v="3"/>
  </r>
  <r>
    <n v="27"/>
    <s v="Cheng et al."/>
    <n v="4"/>
    <n v="2014"/>
    <s v="BTM: Topic modeling over short texts"/>
    <s v="Trans Knowl Data Eng 26(12)"/>
    <x v="1"/>
    <s v="A"/>
    <n v="1082"/>
    <n v="4.5208305566067004"/>
    <n v="26"/>
    <n v="15.79"/>
    <n v="1.6466117796073465"/>
    <n v="0.11696465126459109"/>
    <n v="1"/>
    <n v="29.5"/>
    <n v="5"/>
  </r>
  <r>
    <n v="28"/>
    <s v="Chinh et al."/>
    <n v="4"/>
    <n v="2019"/>
    <s v="Ways of qualitative coding: A case study of four strategies for resolving disagreements"/>
    <s v="Asso Comp Mach"/>
    <x v="1"/>
    <s v="A"/>
    <n v="1547"/>
    <n v="5.859166200785066"/>
    <n v="27"/>
    <n v="15.79"/>
    <n v="1.7099430018999369"/>
    <n v="0.30682564007807939"/>
    <n v="1"/>
    <n v="22.5"/>
    <n v="3"/>
  </r>
  <r>
    <n v="29"/>
    <s v="Chiu et al."/>
    <n v="3"/>
    <n v="2008"/>
    <s v="Understanding knowledge sharing in virtual communities: Integration of social capital and social cognitive sciences"/>
    <s v="Dec Sup Syst 42(3)"/>
    <x v="0"/>
    <s v="A"/>
    <n v="2192"/>
    <n v="4.9549000297845378"/>
    <n v="25"/>
    <n v="9"/>
    <n v="2.7777777777777777"/>
    <n v="0.22128189205320373"/>
    <n v="-1"/>
    <n v="97"/>
    <n v="2"/>
  </r>
  <r>
    <n v="30"/>
    <s v="Cho et al."/>
    <n v="3"/>
    <n v="2020"/>
    <s v="Qualitative approaches to the verbal protocol analysis of strategic processing"/>
    <s v="Handbook of strategies and strategic processing"/>
    <x v="3"/>
    <s v="C"/>
    <n v="767"/>
    <n v="5.8507273321392015"/>
    <n v="27"/>
    <n v="17.97"/>
    <n v="1.5025041736227045"/>
    <n v="0.38016269025885924"/>
    <n v="1"/>
    <n v="49.5"/>
    <n v="2"/>
  </r>
  <r>
    <n v="31"/>
    <s v="Chow et al."/>
    <n v="10"/>
    <n v="2016"/>
    <s v="Inter-rater reliability in performances status assessment among health care professionals: A systematic review"/>
    <s v="Ann Pall Med 5(2)"/>
    <x v="1"/>
    <s v="A"/>
    <n v="2051"/>
    <n v="4.5317381958502798"/>
    <n v="36"/>
    <n v="23.47"/>
    <n v="1.5338730293992331"/>
    <n v="0.15928381457919588"/>
    <n v="1"/>
    <n v="19"/>
    <n v="4"/>
  </r>
  <r>
    <n v="32"/>
    <s v="Christensen &amp; Friis-Olivarius"/>
    <n v="2"/>
    <n v="2020"/>
    <s v="How do initial ideas evolve into final ones? Exploring the cognitive size, structure and life of ideas using sticky notes"/>
    <s v="Sticky Creativity"/>
    <x v="0"/>
    <s v="C"/>
    <n v="166"/>
    <n v="4.7256934272366529"/>
    <n v="16"/>
    <n v="9"/>
    <n v="1.7777777777777777"/>
    <n v="0.1022974023030141"/>
    <n v="1"/>
    <n v="41"/>
    <n v="2"/>
  </r>
  <r>
    <n v="33"/>
    <s v="Cohen"/>
    <n v="1"/>
    <n v="1968"/>
    <s v="Weighted kappa: nominal scale agreement provision for scaled disagreement or partial credit "/>
    <s v="Psy Bull 70(4)"/>
    <x v="1"/>
    <s v="A"/>
    <n v="5993"/>
    <n v="5.7093633538939113"/>
    <n v="48"/>
    <n v="17.97"/>
    <n v="2.671118530884808"/>
    <n v="6.3001076653599525E-2"/>
    <n v="-1"/>
    <n v="85"/>
    <n v="4"/>
  </r>
  <r>
    <n v="34"/>
    <s v="Collier"/>
    <n v="1"/>
    <n v="1994"/>
    <s v="An historical overview of natural language processing systems that learn"/>
    <s v="Art Int Rev 8"/>
    <x v="5"/>
    <s v="A"/>
    <n v="983"/>
    <n v="4.5584046099719622"/>
    <n v="17"/>
    <n v="9"/>
    <n v="1.8888888888888888"/>
    <n v="3.5715372364234776E-2"/>
    <n v="1"/>
    <n v="60.5"/>
    <n v="7"/>
  </r>
  <r>
    <n v="35"/>
    <s v="Collin"/>
    <n v="1"/>
    <n v="2009"/>
    <s v="La pratique réflexive interactionnelle : rapport entre la pratique réflexive et l'interaction verbale en formation initiale d'enseignants"/>
    <s v="Can Jour New Schol Educ 2(1)"/>
    <x v="1"/>
    <s v="A"/>
    <n v="209"/>
    <n v="3.7773848945032742"/>
    <n v="14"/>
    <n v="9"/>
    <n v="1.5555555555555556"/>
    <n v="3.161210115444088E-2"/>
    <n v="1"/>
    <n v="56.5"/>
    <n v="1"/>
  </r>
  <r>
    <n v="36"/>
    <s v="Corbin &amp; Strauss"/>
    <n v="2"/>
    <n v="1990"/>
    <s v="Grounded theory research: Procedures, canons, and evaluative criteria"/>
    <s v="Qual Soc 13"/>
    <x v="1"/>
    <s v="A"/>
    <n v="3698"/>
    <n v="5.0566643285873987"/>
    <n v="23"/>
    <n v="9"/>
    <n v="2.5555555555555554"/>
    <n v="0.12511164420455989"/>
    <n v="-1"/>
    <n v="88.5"/>
    <n v="2"/>
  </r>
  <r>
    <n v="37"/>
    <s v="D'Alonzo &amp; Tegmark"/>
    <n v="2"/>
    <n v="2021"/>
    <s v="Machine-learning media bias"/>
    <m/>
    <x v="2"/>
    <s v="A"/>
    <n v="237"/>
    <n v="5.7749129605751861"/>
    <n v="16"/>
    <n v="15.79"/>
    <n v="1.013299556681444"/>
    <n v="0.54422952264335311"/>
    <n v="1"/>
    <n v="81.5"/>
    <n v="7"/>
  </r>
  <r>
    <n v="38"/>
    <s v="Donin &amp; Traube"/>
    <n v="2"/>
    <n v="2016"/>
    <s v="Tracking the creative process in music"/>
    <s v="Mus Sci 20(3)"/>
    <x v="4"/>
    <s v="A"/>
    <n v="391"/>
    <n v="4.483800910197365"/>
    <n v="19"/>
    <n v="9"/>
    <n v="2.1111111111111112"/>
    <n v="5.613908278332172E-2"/>
    <n v="-1"/>
    <n v="73"/>
    <n v="1"/>
  </r>
  <r>
    <n v="39"/>
    <s v="Dorais"/>
    <n v="1"/>
    <n v="1993"/>
    <s v="Diversité et créativité en recherche qualitative"/>
    <s v="Ser Soc 42(2)"/>
    <x v="0"/>
    <s v="A"/>
    <n v="478"/>
    <n v="3.8023149025049818"/>
    <n v="17"/>
    <n v="9"/>
    <n v="1.8888888888888888"/>
    <n v="8.4426544883525481E-2"/>
    <n v="-1"/>
    <n v="73"/>
    <n v="4"/>
  </r>
  <r>
    <n v="40"/>
    <s v="Douillez &amp; Philippot"/>
    <n v="2"/>
    <n v="2008"/>
    <s v="Paradigmes expérimentaux en psychologie cognitive des émotions"/>
    <s v="Psychopathologie et neurosciences "/>
    <x v="6"/>
    <s v="C"/>
    <n v="423"/>
    <n v="3.7151676688710742"/>
    <n v="26"/>
    <n v="17.97"/>
    <n v="1.4468558708959378"/>
    <n v="6.08577311474299E-2"/>
    <n v="1"/>
    <n v="41"/>
    <n v="2"/>
  </r>
  <r>
    <n v="41"/>
    <s v="Dyke et al."/>
    <n v="4"/>
    <n v="2013"/>
    <s v="Enhancing scientific reasoning and discussion with conversational agents"/>
    <s v="Trans Learn Tech 6(3)"/>
    <x v="1"/>
    <s v="A"/>
    <n v="875"/>
    <n v="4.1907049479015051"/>
    <n v="29"/>
    <n v="17.97"/>
    <n v="1.6138007790762383"/>
    <n v="7.631997414049084E-2"/>
    <n v="1"/>
    <n v="41"/>
    <n v="1"/>
  </r>
  <r>
    <n v="42"/>
    <s v="Ericsson"/>
    <n v="1"/>
    <n v="2006"/>
    <s v="Protocol analysis and expert thought: Concurrent verbalizations of thinking during experts' performance on representative tasks"/>
    <s v="Handbook of expertise and expert performance"/>
    <x v="3"/>
    <s v="C"/>
    <n v="2273"/>
    <n v="5.9562671016127622"/>
    <n v="37"/>
    <n v="17.97"/>
    <n v="2.0589872008903729"/>
    <n v="0.19659896689922685"/>
    <n v="1"/>
    <n v="26"/>
    <n v="2"/>
  </r>
  <r>
    <n v="43"/>
    <s v="Ericsson &amp; Crutcher"/>
    <n v="2"/>
    <n v="1991"/>
    <s v="Introspection and verbal reports on cognitive processes"/>
    <s v="New Id Psy 9(1)"/>
    <x v="1"/>
    <s v="A"/>
    <n v="2821"/>
    <n v="4.8177123259569044"/>
    <n v="37"/>
    <n v="17.97"/>
    <n v="2.0589872008903729"/>
    <n v="1.5683723260809673E-2"/>
    <n v="1"/>
    <n v="65"/>
    <n v="4"/>
  </r>
  <r>
    <n v="44"/>
    <s v="Ericsson &amp; Simon"/>
    <n v="2"/>
    <n v="1980"/>
    <s v="Verbal reports as data"/>
    <s v="Psy Rev 87(3)"/>
    <x v="1"/>
    <s v="A"/>
    <n v="3241"/>
    <n v="4.6528204042982342"/>
    <n v="37"/>
    <n v="17.97"/>
    <n v="2.0589872008903729"/>
    <n v="1.0517442303403849E-2"/>
    <n v="-1"/>
    <n v="67.5"/>
    <n v="2"/>
  </r>
  <r>
    <n v="45"/>
    <s v="Fan et al."/>
    <n v="3"/>
    <n v="2019"/>
    <s v="Assessing topic model relevance: Evaluation and informative priors"/>
    <s v="Stat Anal Data Min 12"/>
    <x v="1"/>
    <s v="A"/>
    <n v="483"/>
    <n v="4.9827920763163531"/>
    <n v="24"/>
    <n v="15.79"/>
    <n v="1.519949335022166"/>
    <n v="0.23596836633497822"/>
    <n v="1"/>
    <n v="6"/>
    <n v="6"/>
  </r>
  <r>
    <n v="46"/>
    <s v="Feder et al."/>
    <n v="7"/>
    <n v="2021"/>
    <s v="Causal inference in natural language processing: Estimation, prediction, interpretation and beyond"/>
    <m/>
    <x v="2"/>
    <s v="A"/>
    <n v="736"/>
    <n v="5.6553199696735632"/>
    <n v="33"/>
    <n v="15.79"/>
    <n v="2.0899303356554784"/>
    <n v="0.13763923257445504"/>
    <n v="1"/>
    <n v="41"/>
    <n v="6"/>
  </r>
  <r>
    <n v="47"/>
    <s v="Fleiss"/>
    <n v="1"/>
    <n v="1971"/>
    <s v="Measuring nominal scale agreement among many raters"/>
    <s v="Psy Bull 76(5)"/>
    <x v="1"/>
    <s v="A"/>
    <n v="5145"/>
    <n v="5.6139550155438238"/>
    <n v="49"/>
    <n v="17.97"/>
    <n v="2.7267668336115749"/>
    <n v="9.8194757565678414E-2"/>
    <n v="-1"/>
    <n v="88.5"/>
    <n v="4"/>
  </r>
  <r>
    <n v="48"/>
    <s v="Foster &amp; Parker"/>
    <n v="2"/>
    <n v="1995"/>
    <s v="Data from qualitative research"/>
    <s v="Carrying out investigations in psychology: Methods and Statistics"/>
    <x v="4"/>
    <s v="A"/>
    <n v="1763"/>
    <n v="4.4857881358335963"/>
    <n v="28"/>
    <n v="9"/>
    <n v="3.1111111111111112"/>
    <n v="0.41582331456748323"/>
    <n v="-1"/>
    <n v="100"/>
    <n v="4"/>
  </r>
  <r>
    <n v="49"/>
    <s v="Frost et al."/>
    <n v="4"/>
    <n v="2021"/>
    <s v="Relationships  between comprehension, strategic behaviours and content-related aspects of test performances in integrated speaking tasks"/>
    <s v="Lang Ass Quat 18(2)"/>
    <x v="3"/>
    <s v="A"/>
    <n v="549"/>
    <n v="5.9218040803896397"/>
    <n v="27"/>
    <n v="12.18"/>
    <n v="2.2167487684729066"/>
    <n v="0.13432866210231098"/>
    <n v="1"/>
    <n v="49.5"/>
    <n v="2"/>
  </r>
  <r>
    <n v="50"/>
    <s v="Garg et al."/>
    <n v="4"/>
    <n v="2017"/>
    <s v="Word embeddings quantify 100 years of gender and ethnic stereotypes"/>
    <m/>
    <x v="2"/>
    <s v="A"/>
    <n v="725"/>
    <n v="4.5904393813006834"/>
    <n v="32"/>
    <n v="15.79"/>
    <n v="2.026599113362888"/>
    <n v="8.7700145196168439E-3"/>
    <n v="-1"/>
    <n v="67.5"/>
    <n v="6"/>
  </r>
  <r>
    <n v="51"/>
    <s v="Gass &amp; Mackey"/>
    <n v="2"/>
    <n v="2017"/>
    <s v="Data analysis"/>
    <s v="Stimulated recall methodology in applied linguistics and L2 research"/>
    <x v="1"/>
    <s v="C"/>
    <n v="619"/>
    <n v="5.1255201796905503"/>
    <n v="30"/>
    <n v="17.97"/>
    <n v="1.6694490818030052"/>
    <n v="0.20482781394479227"/>
    <n v="1"/>
    <n v="9"/>
    <n v="2"/>
  </r>
  <r>
    <n v="52"/>
    <s v="Glaser"/>
    <n v="1"/>
    <n v="1995"/>
    <s v="Conceptualization: On theory and theorizing using grounded theory "/>
    <s v="Int Jour Qual Meth 1(2)"/>
    <x v="4"/>
    <s v="A"/>
    <n v="1052"/>
    <n v="4.6626115272933255"/>
    <n v="27"/>
    <n v="9"/>
    <n v="3"/>
    <n v="0.347726250086347"/>
    <n v="-1"/>
    <n v="99"/>
    <n v="2"/>
  </r>
  <r>
    <n v="53"/>
    <s v="Gordon &amp; Van Durme"/>
    <n v="2"/>
    <n v="2013"/>
    <s v="Reporting bias and knowledge acquisition"/>
    <s v="Aut Knowl Base Cons"/>
    <x v="1"/>
    <s v="A"/>
    <n v="907"/>
    <n v="4.9197706922189717"/>
    <n v="41"/>
    <n v="17.97"/>
    <n v="2.2815804117974405"/>
    <n v="4.8232857784570357E-2"/>
    <n v="-1"/>
    <n v="75"/>
    <n v="5"/>
  </r>
  <r>
    <n v="54"/>
    <s v="Gosh et al."/>
    <n v="2"/>
    <n v="2019"/>
    <s v="An exploratory study on how to improve bedside change-of-shift process: Evidence from one hospital using technology to support verbal reporting"/>
    <s v="Int Conf Sys Sci"/>
    <x v="1"/>
    <s v="P"/>
    <n v="658"/>
    <n v="5.6974454620972619"/>
    <n v="36"/>
    <n v="23.47"/>
    <n v="1.5338730293992331"/>
    <n v="0.34451356249594556"/>
    <n v="1"/>
    <n v="33"/>
    <n v="5"/>
  </r>
  <r>
    <n v="55"/>
    <s v="Grahle &amp; Hibbert"/>
    <n v="2"/>
    <n v="2020"/>
    <s v="Ethnography of creativity: Looking through a practice lens"/>
    <s v="Handbook of research methods on creativity"/>
    <x v="3"/>
    <s v="C"/>
    <n v="309"/>
    <n v="5.3470469157778551"/>
    <n v="16"/>
    <n v="9"/>
    <n v="1.7777777777777777"/>
    <n v="0.20102986574576553"/>
    <n v="1"/>
    <n v="15"/>
    <n v="1"/>
  </r>
  <r>
    <n v="56"/>
    <s v="Gray"/>
    <n v="1"/>
    <n v="2004"/>
    <s v="Stong opposition: Frame-based resistance to collaboration"/>
    <s v="Jour Com &amp; App Soc Psy 14"/>
    <x v="3"/>
    <s v="A"/>
    <n v="1181"/>
    <n v="5.1837450583011977"/>
    <n v="43"/>
    <n v="17.97"/>
    <n v="2.3928770172509739"/>
    <n v="4.6354366380760306E-2"/>
    <n v="-1"/>
    <n v="77.5"/>
    <n v="1"/>
  </r>
  <r>
    <n v="57"/>
    <s v="Greff et al."/>
    <n v="5"/>
    <n v="2017"/>
    <s v="LSTM: A search space odyssey"/>
    <s v="Trans Neur Net Learn Syst 28(10)"/>
    <x v="1"/>
    <s v="A"/>
    <n v="1217"/>
    <n v="4.8852682681193258"/>
    <n v="25"/>
    <n v="15.79"/>
    <n v="1.5832805573147564"/>
    <n v="0.19767268828333467"/>
    <n v="1"/>
    <n v="9"/>
    <n v="5"/>
  </r>
  <r>
    <n v="58"/>
    <s v="Hamilton et al."/>
    <n v="3"/>
    <n v="2018"/>
    <s v="Diachronic word embeddings reveal statistical laws of semantic change"/>
    <m/>
    <x v="2"/>
    <s v="A"/>
    <n v="604"/>
    <n v="4.9186675481468143"/>
    <n v="24"/>
    <n v="15.79"/>
    <n v="1.519949335022166"/>
    <n v="0.22577904133714671"/>
    <n v="1"/>
    <n v="4"/>
    <n v="7"/>
  </r>
  <r>
    <n v="59"/>
    <s v="Holmes"/>
    <n v="1"/>
    <n v="2020"/>
    <s v="Researcher positionality: A consideration of its influence and place in qualitative research"/>
    <s v="Int Jour Educ 8(4)"/>
    <x v="3"/>
    <s v="A"/>
    <n v="409"/>
    <n v="6.3205679754828568"/>
    <n v="22"/>
    <n v="12.18"/>
    <n v="1.80623973727422"/>
    <n v="0.34547510742648624"/>
    <n v="1"/>
    <n v="26"/>
    <n v="4"/>
  </r>
  <r>
    <n v="60"/>
    <s v="Hosseini et al."/>
    <n v="6"/>
    <n v="2020"/>
    <s v="TEAGS: Time-aware text embedding approach to generate subgraphs"/>
    <s v="Data Min Knowl Disco 34"/>
    <x v="2"/>
    <s v="A"/>
    <n v="1057"/>
    <n v="5.4782833360822369"/>
    <n v="31"/>
    <n v="15.79"/>
    <n v="1.9632678910702979"/>
    <n v="0.15510676417720709"/>
    <n v="1"/>
    <n v="29.5"/>
    <n v="5"/>
  </r>
  <r>
    <n v="61"/>
    <s v="Huang et al."/>
    <n v="5"/>
    <n v="2018"/>
    <s v="Phrase CTM: Correlated modeling on phrases within Markov random fields"/>
    <s v="Asso Comp Ling"/>
    <x v="1"/>
    <s v="A"/>
    <n v="1022"/>
    <n v="4.9337844972096594"/>
    <n v="37"/>
    <n v="15.79"/>
    <n v="2.3432552248258394"/>
    <n v="6.8209010526739972E-2"/>
    <n v="-1"/>
    <n v="81.5"/>
    <n v="5"/>
  </r>
  <r>
    <n v="62"/>
    <s v="Johri"/>
    <n v="1"/>
    <n v="2020"/>
    <s v="Artificial intelligence and engineering education"/>
    <s v="Res Jour eng ed 109(3)"/>
    <x v="1"/>
    <s v="A"/>
    <n v="227"/>
    <n v="5.7318028369214575"/>
    <n v="23"/>
    <n v="12.18"/>
    <n v="1.8883415435139574"/>
    <n v="0.22236425077207564"/>
    <n v="1"/>
    <n v="12"/>
    <n v="7"/>
  </r>
  <r>
    <n v="63"/>
    <s v="Jurafsky &amp; Martin"/>
    <n v="2"/>
    <n v="2021"/>
    <s v="Speech and language processing"/>
    <s v="Speech and language processing"/>
    <x v="1"/>
    <s v="C"/>
    <n v="114"/>
    <n v="5.0430512678345503"/>
    <n v="37"/>
    <n v="15.79"/>
    <n v="2.3432552248258394"/>
    <n v="5.0846627221292143E-2"/>
    <n v="-1"/>
    <n v="77.5"/>
    <n v="5"/>
  </r>
  <r>
    <n v="64"/>
    <s v="Keller"/>
    <n v="1"/>
    <n v="2017"/>
    <s v="How to gauge the relevance of codes in qualitative data analysis? A technique based on information retrieval"/>
    <s v="Wirt ang Inf "/>
    <x v="0"/>
    <s v="A"/>
    <n v="642"/>
    <n v="5.8551503912558607"/>
    <n v="31"/>
    <n v="15.79"/>
    <n v="1.9632678910702979"/>
    <n v="0.21499057175840464"/>
    <n v="1"/>
    <n v="19"/>
    <n v="4"/>
  </r>
  <r>
    <n v="65"/>
    <s v="Kharrazi &amp; Fath"/>
    <n v="2"/>
    <n v="2016"/>
    <s v="Measuring global oil trade dependencies: An application of the point-wise mutual information method"/>
    <s v="Ener Pol 88"/>
    <x v="1"/>
    <s v="A"/>
    <n v="514"/>
    <n v="4.7573166156671647"/>
    <n v="21"/>
    <n v="9"/>
    <n v="2.3333333333333335"/>
    <n v="9.2677703891385813E-2"/>
    <n v="-1"/>
    <n v="84"/>
    <n v="5"/>
  </r>
  <r>
    <n v="66"/>
    <s v="Kim et al."/>
    <n v="3"/>
    <n v="2013"/>
    <s v="Context-dependent conceptualization"/>
    <m/>
    <x v="1"/>
    <s v="A"/>
    <n v="985"/>
    <n v="4.5968047751677599"/>
    <n v="27"/>
    <n v="15.79"/>
    <n v="1.7099430018999369"/>
    <n v="0.10623764048558074"/>
    <n v="1"/>
    <n v="33"/>
    <n v="5"/>
  </r>
  <r>
    <n v="67"/>
    <s v="König-Pralong"/>
    <n v="1"/>
    <n v="2021"/>
    <s v="Les abîmes de la réflexivité en sciences humaines et sociales"/>
    <s v="Quest Comm 38"/>
    <x v="6"/>
    <s v="A"/>
    <n v="104"/>
    <n v="5.6443908991413725"/>
    <n v="15"/>
    <n v="9"/>
    <n v="1.6666666666666667"/>
    <n v="0.28827753475988072"/>
    <n v="1"/>
    <n v="15"/>
    <n v="1"/>
  </r>
  <r>
    <n v="68"/>
    <s v="Krippendorff"/>
    <n v="1"/>
    <n v="2004"/>
    <s v="Measuring the reliability of qualitative text analysis data"/>
    <s v="Qual Quant 38"/>
    <x v="5"/>
    <s v="A"/>
    <n v="1315"/>
    <n v="5.2912201867156998"/>
    <n v="24"/>
    <n v="17.97"/>
    <n v="1.335559265442404"/>
    <n v="0.35135771737558569"/>
    <n v="1"/>
    <n v="44"/>
    <n v="4"/>
  </r>
  <r>
    <n v="69"/>
    <s v="Kuusela &amp; Paul"/>
    <n v="2"/>
    <n v="2000"/>
    <s v="A comparison of concurrent and retrospective verbal protocol analysis"/>
    <s v="Am Jour Psy 113(3)"/>
    <x v="1"/>
    <s v="A"/>
    <n v="1389"/>
    <n v="4.4521497088360826"/>
    <n v="30"/>
    <n v="17.97"/>
    <n v="1.6694490818030052"/>
    <n v="9.7829902734612423E-2"/>
    <n v="1"/>
    <n v="36"/>
    <n v="2"/>
  </r>
  <r>
    <n v="70"/>
    <s v="Lejeune"/>
    <n v="1"/>
    <n v="2016"/>
    <s v="Le blog de recherche comme journal de bord informatique: un soutien à la réflexivité"/>
    <s v="Rech Qual h.s. 20"/>
    <x v="0"/>
    <s v="A"/>
    <n v="247"/>
    <n v="4.717628867399922"/>
    <n v="10"/>
    <n v="9"/>
    <n v="1.1111111111111112"/>
    <n v="0.3410159516087703"/>
    <n v="1"/>
    <n v="54"/>
    <n v="2"/>
  </r>
  <r>
    <n v="71"/>
    <s v="Lowrie "/>
    <n v="1"/>
    <n v="2017"/>
    <s v="Algorithmic rationality: Epistemology and efficiency in the data sciences"/>
    <s v="Big Dat Soc"/>
    <x v="1"/>
    <s v="A"/>
    <n v="309"/>
    <n v="5.1239033644636454"/>
    <n v="12"/>
    <n v="9"/>
    <n v="1.3333333333333333"/>
    <n v="0.32557257303088766"/>
    <n v="1"/>
    <n v="33"/>
    <n v="7"/>
  </r>
  <r>
    <n v="72"/>
    <s v="Mackey et al."/>
    <n v="3"/>
    <n v="2000"/>
    <s v="How do learners perceive interactional feedback?"/>
    <s v="Stud Sec Lang Acq 22"/>
    <x v="1"/>
    <s v="A"/>
    <n v="958"/>
    <n v="3.6751930359444351"/>
    <n v="23"/>
    <n v="12.18"/>
    <n v="1.8883415435139574"/>
    <n v="0.10442904118753582"/>
    <n v="-1"/>
    <n v="77.5"/>
    <n v="3"/>
  </r>
  <r>
    <n v="73"/>
    <s v="Martin-Juchat &amp; Ménissier"/>
    <n v="2"/>
    <n v="2018"/>
    <s v="Comment se projeter affectivement dans la modernité radicale: action collective, réflexivité, autonomie"/>
    <s v="Rev Fran Sci Inf Comm 14"/>
    <x v="0"/>
    <s v="A"/>
    <n v="152"/>
    <n v="3.9444389791664403"/>
    <n v="11"/>
    <n v="9"/>
    <n v="1.2222222222222223"/>
    <n v="0.17815683231172741"/>
    <n v="1"/>
    <n v="1"/>
    <n v="3"/>
  </r>
  <r>
    <n v="74"/>
    <s v="McDonald et al."/>
    <n v="3"/>
    <n v="2019"/>
    <s v="Reliability and Inter-rater Reliability in Qualitative Research: Norms and Guidelines for CSCW and HCI Practice"/>
    <s v="Aca Comp Mac 3"/>
    <x v="1"/>
    <s v="P"/>
    <n v="199"/>
    <n v="4.0960802473882731"/>
    <n v="26"/>
    <n v="15.79"/>
    <n v="1.6466117796073465"/>
    <n v="4.9472241306994291E-2"/>
    <n v="1"/>
    <n v="54"/>
    <n v="4"/>
  </r>
  <r>
    <n v="75"/>
    <s v="Meunier"/>
    <n v="1"/>
    <n v="2013"/>
    <s v="Des image et des mots : Cognition et réflexivité dans la communication"/>
    <s v="Rev Interdisc Huma 7"/>
    <x v="0"/>
    <s v="A"/>
    <n v="208"/>
    <n v="4.1403135023650988"/>
    <n v="9"/>
    <n v="9"/>
    <n v="1"/>
    <n v="0.28928110304927801"/>
    <n v="1"/>
    <n v="36"/>
    <n v="1"/>
  </r>
  <r>
    <n v="76"/>
    <s v="Miles &amp; Huberman"/>
    <n v="2"/>
    <n v="1994"/>
    <s v="Qualitative data analysis: An expended sourcebook"/>
    <m/>
    <x v="4"/>
    <s v="C"/>
    <n v="1768"/>
    <n v="4.4522525524624399"/>
    <n v="16"/>
    <n v="9"/>
    <n v="1.7777777777777777"/>
    <n v="5.8847913935638915E-2"/>
    <n v="1"/>
    <n v="56.5"/>
    <n v="4"/>
  </r>
  <r>
    <n v="77"/>
    <s v="O'Connor &amp; Joffe"/>
    <n v="2"/>
    <n v="2020"/>
    <s v="Intercoder reliability in qualitative research: Debates and practical guidelines"/>
    <s v="Int Jour Qual Meth"/>
    <x v="3"/>
    <s v="A"/>
    <n v="253"/>
    <n v="5.1470951276076295"/>
    <n v="16"/>
    <n v="9"/>
    <n v="1.7777777777777777"/>
    <n v="0.16925772158000457"/>
    <n v="1"/>
    <n v="24"/>
    <n v="4"/>
  </r>
  <r>
    <n v="78"/>
    <s v="Ollagnier-Beldame &amp; Hulin"/>
    <n v="2"/>
    <n v="2014"/>
    <s v="Rendre visibles les traces d'interaction pour renforcer la réflexivité de l'utilisateur"/>
    <s v="Les TIC comme miroir de la société : Une lecture pluridisciplinaire"/>
    <x v="1"/>
    <s v="C"/>
    <n v="389"/>
    <n v="4.1909906213786652"/>
    <n v="18"/>
    <n v="17.97"/>
    <n v="1.001669449081803"/>
    <n v="0.29673264617544592"/>
    <n v="1"/>
    <n v="41"/>
    <n v="1"/>
  </r>
  <r>
    <n v="79"/>
    <s v="Paillé &amp; Muchielli"/>
    <n v="2"/>
    <n v="2012"/>
    <s v="L'examen et l'analyse phénoménologiques des données d'entretien"/>
    <m/>
    <x v="6"/>
    <s v="C"/>
    <n v="351"/>
    <n v="3.865053949911875"/>
    <n v="11"/>
    <n v="9"/>
    <n v="1.2222222222222223"/>
    <n v="0.16554262857211424"/>
    <n v="1"/>
    <n v="4"/>
    <n v="3"/>
  </r>
  <r>
    <n v="80"/>
    <s v="Paletz et al."/>
    <n v="3"/>
    <n v="2011"/>
    <s v="Intragroup conflict under the microscope: Micro-conflicts in naturalistic team discussions"/>
    <s v="Nego Confict Manag Res 4(4)"/>
    <x v="1"/>
    <s v="A"/>
    <n v="573"/>
    <n v="3.8543781552482592"/>
    <n v="25"/>
    <n v="17.97"/>
    <n v="1.3912075681691709"/>
    <n v="0.10301153066921162"/>
    <n v="1"/>
    <n v="28"/>
    <n v="3"/>
  </r>
  <r>
    <n v="81"/>
    <s v="Patton"/>
    <n v="1"/>
    <n v="1990"/>
    <s v="Qualitative evaluation and research methods"/>
    <m/>
    <x v="4"/>
    <s v="C"/>
    <n v="974"/>
    <n v="4.4156754008428081"/>
    <n v="37"/>
    <n v="17.97"/>
    <n v="2.0589872008903729"/>
    <n v="4.8199552110600077E-2"/>
    <n v="-1"/>
    <n v="70.5"/>
    <n v="2"/>
  </r>
  <r>
    <n v="82"/>
    <s v="Phakiti et al."/>
    <n v="4"/>
    <n v="2018"/>
    <s v="Research approaches and methodology"/>
    <s v="Handbook of applied linguistics research methodology"/>
    <x v="3"/>
    <s v="C"/>
    <n v="620"/>
    <n v="4.657130755799356"/>
    <n v="10"/>
    <n v="9"/>
    <n v="1.1111111111111112"/>
    <n v="0.33140286066760261"/>
    <n v="1"/>
    <n v="49.5"/>
    <n v="2"/>
  </r>
  <r>
    <n v="83"/>
    <s v="Rebuschat et al."/>
    <n v="5"/>
    <n v="2015"/>
    <s v="Triangulating measures of awareness"/>
    <s v="Stud Sec Lang Acq 37"/>
    <x v="0"/>
    <s v="A"/>
    <n v="627"/>
    <n v="3.885598479143507"/>
    <n v="15"/>
    <n v="12.18"/>
    <n v="1.2315270935960592"/>
    <n v="0.16545738053931483"/>
    <n v="1"/>
    <n v="4"/>
    <n v="3"/>
  </r>
  <r>
    <n v="84"/>
    <s v="Rollandin"/>
    <n v="1"/>
    <n v="2017"/>
    <s v="La réflexivité communicationnelle, processus facilitant la construction d'une autorité dans les espaces médiatisés participatifs"/>
    <s v="Quaderni 19(1)"/>
    <x v="0"/>
    <s v="A"/>
    <n v="79"/>
    <n v="3.760009940032921"/>
    <n v="13"/>
    <n v="9"/>
    <n v="1.4444444444444444"/>
    <n v="6.8851237831550144E-2"/>
    <n v="1"/>
    <n v="36"/>
    <n v="1"/>
  </r>
  <r>
    <n v="85"/>
    <s v="Russo et al."/>
    <n v="3"/>
    <n v="1989"/>
    <s v="Disjunction errors in qualitative likelihood judgment"/>
    <s v="Org Behav &amp; Hum Dec Proc 44(3)"/>
    <x v="0"/>
    <s v="A"/>
    <n v="1707"/>
    <n v="3.8473728726598506"/>
    <n v="21"/>
    <n v="9"/>
    <n v="2.3333333333333335"/>
    <n v="0.23726687736228147"/>
    <n v="-1"/>
    <n v="94"/>
    <n v="4"/>
  </r>
  <r>
    <n v="86"/>
    <s v="Schummer"/>
    <n v="1"/>
    <n v="2004"/>
    <s v="Multidisciplinarity, interdisciplinarity and patterns of research collaboration in nanoscience and nanotechnology"/>
    <s v="Scientometrics 59(3)"/>
    <x v="1"/>
    <s v="A"/>
    <n v="353"/>
    <n v="3.976096299037132"/>
    <n v="11"/>
    <n v="9"/>
    <n v="1.2222222222222223"/>
    <n v="0.18318714956989035"/>
    <n v="1"/>
    <n v="1"/>
    <n v="1"/>
  </r>
  <r>
    <n v="87"/>
    <s v="Snowden et al."/>
    <n v="3"/>
    <n v="2020"/>
    <s v="Verbal protocol analysis as a tool to understand the creative process"/>
    <s v="Handbook of research methods on creativity"/>
    <x v="3"/>
    <s v="C"/>
    <n v="581"/>
    <n v="5.5729912876238563"/>
    <n v="15"/>
    <n v="9"/>
    <n v="1.6666666666666667"/>
    <n v="0.27693220611204394"/>
    <n v="1"/>
    <n v="12"/>
    <n v="1"/>
  </r>
  <r>
    <n v="88"/>
    <s v="Smith &amp; Freeman"/>
    <n v="2"/>
    <n v="2021"/>
    <s v="Effects of deep neural networks on the perceived creative autonomy of a generative musical system"/>
    <s v="Art Int &amp; Int Dig Ent 27 "/>
    <x v="2"/>
    <s v="P"/>
    <n v="280"/>
    <n v="5.9416424226093039"/>
    <n v="24"/>
    <n v="15.79"/>
    <n v="1.519949335022166"/>
    <n v="0.38832875137876599"/>
    <n v="1"/>
    <n v="49.5"/>
    <n v="4"/>
  </r>
  <r>
    <n v="89"/>
    <s v="Spangler"/>
    <n v="1"/>
    <n v="1991"/>
    <s v="The role of artificial intelligence in understanding the strategic decision-making process"/>
    <s v="Trans Knowl Data Eng 3(2)"/>
    <x v="1"/>
    <s v="A"/>
    <n v="1740"/>
    <n v="5.0276531877234287"/>
    <n v="22"/>
    <n v="15.79"/>
    <n v="1.3932868904369855"/>
    <n v="0.2886952332438214"/>
    <n v="1"/>
    <n v="26"/>
    <n v="7"/>
  </r>
  <r>
    <n v="90"/>
    <s v="Strauss"/>
    <n v="1"/>
    <n v="1978"/>
    <s v="Theoretical sensitivity: Advances in the methodology of grounded theory"/>
    <m/>
    <x v="3"/>
    <s v="C"/>
    <n v="3723"/>
    <n v="5.4380954399544557"/>
    <n v="26"/>
    <n v="9"/>
    <n v="2.8888888888888888"/>
    <n v="0.18450261254467129"/>
    <n v="-1"/>
    <n v="95"/>
    <n v="2"/>
  </r>
  <r>
    <n v="91"/>
    <s v="Tang et al."/>
    <n v="5"/>
    <n v="2018"/>
    <s v="Conceptualization topic modeling"/>
    <s v="Multimed Tools App 77"/>
    <x v="1"/>
    <s v="A"/>
    <n v="635"/>
    <n v="4.4578927253387004"/>
    <n v="16"/>
    <n v="15.79"/>
    <n v="1.013299556681444"/>
    <n v="0.33495629150058198"/>
    <n v="1"/>
    <n v="54"/>
    <n v="6"/>
  </r>
  <r>
    <n v="92"/>
    <s v="Trouche"/>
    <n v="1"/>
    <n v="2020"/>
    <s v="Pratiques collaboratives et réflexives autour de la conception des ressources de l'enseignement. Un nouveau regard sur les interactions enseignants/chercheurs"/>
    <s v="Rech Educ 8(2)"/>
    <x v="1"/>
    <s v="A"/>
    <n v="96"/>
    <n v="4.8712010109078907"/>
    <n v="18"/>
    <n v="12.18"/>
    <n v="1.4778325123152709"/>
    <n v="0.23339871102934037"/>
    <n v="1"/>
    <n v="6"/>
    <n v="1"/>
  </r>
  <r>
    <n v="93"/>
    <s v="Vacher"/>
    <n v="1"/>
    <n v="2018"/>
    <s v="Dynamiques d'interaction et intelligencw collective en APP : Un regard sur la communication"/>
    <s v="Rev Anal Prat Pro 13"/>
    <x v="0"/>
    <s v="A"/>
    <n v="174"/>
    <n v="4.7727609380946383"/>
    <n v="11"/>
    <n v="9"/>
    <n v="1.2222222222222223"/>
    <n v="0.30977638388246515"/>
    <n v="1"/>
    <n v="33"/>
    <n v="3"/>
  </r>
  <r>
    <n v="94"/>
    <s v="Vaswani et al. "/>
    <n v="8"/>
    <n v="2017"/>
    <s v="Attention is all you need"/>
    <s v="Adv Neur Inf Proc Syst"/>
    <x v="2"/>
    <s v="A"/>
    <n v="1587"/>
    <n v="4.6807212664124727"/>
    <n v="19"/>
    <n v="15.79"/>
    <n v="1.2032932235592149"/>
    <n v="0.30196580931942574"/>
    <n v="1"/>
    <n v="33"/>
    <n v="5"/>
  </r>
  <r>
    <n v="95"/>
    <s v="Wanlin"/>
    <n v="1"/>
    <n v="2017"/>
    <s v="L'analyse de contenu comme méthode d'analyse qualitative d'entretiens : une comparaison entre les traitements manuels et logiciels"/>
    <s v="Rech Qual h.s. 3"/>
    <x v="0"/>
    <s v="A"/>
    <n v="89"/>
    <n v="3.8791984572980396"/>
    <n v="12"/>
    <n v="9"/>
    <n v="1.3333333333333333"/>
    <n v="0.12779017700336065"/>
    <n v="1"/>
    <n v="19"/>
    <n v="2"/>
  </r>
  <r>
    <n v="96"/>
    <s v="Weber"/>
    <n v="1"/>
    <n v="1990"/>
    <s v="Basic content analysis"/>
    <m/>
    <x v="4"/>
    <s v="C"/>
    <n v="1612"/>
    <n v="4.9194950202668473"/>
    <n v="18"/>
    <n v="9"/>
    <n v="2"/>
    <n v="5.3092286458125457E-2"/>
    <n v="1"/>
    <n v="59"/>
    <n v="4"/>
  </r>
  <r>
    <n v="97"/>
    <s v="Zafrir et al."/>
    <n v="4"/>
    <n v="2021"/>
    <s v="Prune once for all: Sparse pre-trained lamguage models"/>
    <s v="ENLSP Neur IPS"/>
    <x v="2"/>
    <s v="A"/>
    <n v="233"/>
    <n v="5.0647440924458103"/>
    <n v="26"/>
    <n v="15.79"/>
    <n v="1.6466117796073465"/>
    <n v="0.20339198173525858"/>
    <n v="1"/>
    <n v="9"/>
    <n v="5"/>
  </r>
  <r>
    <n v="98"/>
    <s v="Zang et al. "/>
    <n v="5"/>
    <n v="2020"/>
    <s v="Combine topic modeling with semantic embedding"/>
    <s v="Trans Knowl Data Eng 32(12)"/>
    <x v="2"/>
    <s v="A"/>
    <n v="463"/>
    <n v="4.8351419610921882"/>
    <n v="29"/>
    <n v="15.79"/>
    <n v="1.8366054464851174"/>
    <n v="9.8510706873930362E-2"/>
    <n v="1"/>
    <n v="44"/>
    <n v="5"/>
  </r>
  <r>
    <n v="99"/>
    <s v="Zapf et al."/>
    <n v="4"/>
    <n v="2016"/>
    <s v="Measuring inter-rater reliability for nominal data: Which coefficients and confidence intervals are appropriate?"/>
    <s v="BMC Med Res Meth 16"/>
    <x v="3"/>
    <s v="A"/>
    <n v="1028"/>
    <n v="4.7573166156671647"/>
    <n v="32"/>
    <n v="23.47"/>
    <n v="1.3634426927993184"/>
    <n v="0.25648292670085965"/>
    <n v="1"/>
    <n v="19"/>
    <n v="4"/>
  </r>
  <r>
    <n v="100"/>
    <s v="Zhao et al."/>
    <n v="4"/>
    <n v="2013"/>
    <s v="Active transfer learning for cross-system recommendation"/>
    <s v="Conf Art Int 27"/>
    <x v="1"/>
    <s v="P"/>
    <n v="1054"/>
    <n v="4.376828790645197"/>
    <n v="32"/>
    <n v="15.79"/>
    <n v="2.026599113362888"/>
    <n v="4.2712529081485026E-2"/>
    <n v="-1"/>
    <n v="69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38FAD-441A-446C-B2E1-2D5B7B1DEAB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S30:T37" firstHeaderRow="1" firstDataRow="1" firstDataCol="1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2"/>
        <item x="6"/>
        <item x="0"/>
        <item x="4"/>
        <item x="1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Qt docs" fld="6" subtotal="count" baseField="6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6" type="button" dataOnly="0" labelOnly="1" outline="0" axis="axisRow" fieldPosition="0"/>
    </format>
    <format dxfId="1">
      <pivotArea dataOnly="0" labelOnly="1" outline="0" fieldPosition="0">
        <references count="1">
          <reference field="6" count="0"/>
        </references>
      </pivotArea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F8CE-C3BC-49D2-9AEE-784672EE07DC}">
  <sheetPr>
    <pageSetUpPr fitToPage="1"/>
  </sheetPr>
  <dimension ref="A1:W134"/>
  <sheetViews>
    <sheetView tabSelected="1" zoomScaleNormal="100" workbookViewId="0">
      <pane ySplit="3" topLeftCell="A4" activePane="bottomLeft" state="frozen"/>
      <selection activeCell="B1" sqref="B1"/>
      <selection pane="bottomLeft" activeCell="W58" sqref="W58"/>
    </sheetView>
  </sheetViews>
  <sheetFormatPr defaultRowHeight="11.25" x14ac:dyDescent="0.2"/>
  <cols>
    <col min="1" max="1" width="4.42578125" style="1" customWidth="1"/>
    <col min="2" max="2" width="24.140625" style="1" customWidth="1"/>
    <col min="3" max="3" width="6.42578125" style="1" customWidth="1"/>
    <col min="4" max="4" width="6.5703125" style="1" customWidth="1"/>
    <col min="5" max="5" width="18.42578125" style="1" customWidth="1"/>
    <col min="6" max="6" width="13.42578125" style="1" customWidth="1"/>
    <col min="7" max="7" width="16.85546875" style="1" customWidth="1"/>
    <col min="8" max="8" width="7.28515625" style="1" customWidth="1"/>
    <col min="9" max="9" width="8" style="1" customWidth="1"/>
    <col min="10" max="10" width="8.140625" style="1" customWidth="1"/>
    <col min="11" max="11" width="6.5703125" style="1" customWidth="1"/>
    <col min="12" max="12" width="7.5703125" style="1" customWidth="1"/>
    <col min="13" max="13" width="10.7109375" style="2" customWidth="1"/>
    <col min="14" max="14" width="12.5703125" style="2" customWidth="1"/>
    <col min="15" max="15" width="9.28515625" style="2" customWidth="1"/>
    <col min="16" max="16" width="10.5703125" style="1" customWidth="1"/>
    <col min="17" max="17" width="8.5703125" style="1" customWidth="1"/>
    <col min="18" max="18" width="9.140625" style="1"/>
    <col min="19" max="19" width="30.5703125" style="1" customWidth="1"/>
    <col min="20" max="20" width="12.28515625" style="1" customWidth="1"/>
    <col min="21" max="21" width="18.28515625" style="1" customWidth="1"/>
    <col min="22" max="22" width="10.28515625" style="1" customWidth="1"/>
    <col min="23" max="23" width="9" style="1" customWidth="1"/>
    <col min="24" max="24" width="9.140625" style="1"/>
    <col min="25" max="25" width="9.140625" style="1" customWidth="1"/>
    <col min="26" max="16384" width="9.140625" style="1"/>
  </cols>
  <sheetData>
    <row r="1" spans="1:23" ht="29.25" customHeight="1" x14ac:dyDescent="0.2">
      <c r="A1" s="55" t="s">
        <v>341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x14ac:dyDescent="0.2">
      <c r="N2" s="44" t="s">
        <v>315</v>
      </c>
      <c r="O2" s="44"/>
      <c r="P2" s="44"/>
      <c r="Q2" s="33"/>
    </row>
    <row r="3" spans="1:23" s="39" customFormat="1" ht="15" x14ac:dyDescent="0.25">
      <c r="A3" s="37" t="s">
        <v>2</v>
      </c>
      <c r="B3" s="37" t="s">
        <v>330</v>
      </c>
      <c r="C3" s="37" t="s">
        <v>298</v>
      </c>
      <c r="D3" s="37" t="s">
        <v>299</v>
      </c>
      <c r="E3" s="37" t="s">
        <v>308</v>
      </c>
      <c r="F3" s="37" t="s">
        <v>310</v>
      </c>
      <c r="G3" s="37" t="s">
        <v>309</v>
      </c>
      <c r="H3" s="37" t="s">
        <v>221</v>
      </c>
      <c r="I3" s="37" t="s">
        <v>300</v>
      </c>
      <c r="J3" s="37" t="s">
        <v>311</v>
      </c>
      <c r="K3" s="37" t="s">
        <v>222</v>
      </c>
      <c r="L3" s="37" t="s">
        <v>301</v>
      </c>
      <c r="M3" s="37" t="s">
        <v>302</v>
      </c>
      <c r="N3" s="37" t="s">
        <v>303</v>
      </c>
      <c r="O3" s="37" t="s">
        <v>312</v>
      </c>
      <c r="P3" s="37" t="s">
        <v>313</v>
      </c>
      <c r="Q3" s="37" t="s">
        <v>314</v>
      </c>
      <c r="R3" s="38"/>
      <c r="S3" s="49" t="s">
        <v>332</v>
      </c>
      <c r="T3" s="50"/>
      <c r="U3" s="50"/>
      <c r="V3" s="50"/>
      <c r="W3" s="51"/>
    </row>
    <row r="4" spans="1:23" x14ac:dyDescent="0.2">
      <c r="A4" s="1">
        <v>1</v>
      </c>
      <c r="B4" s="1" t="s">
        <v>269</v>
      </c>
      <c r="C4" s="1">
        <v>2</v>
      </c>
      <c r="D4" s="1">
        <v>2005</v>
      </c>
      <c r="E4" s="1" t="s">
        <v>194</v>
      </c>
      <c r="F4" s="1" t="s">
        <v>195</v>
      </c>
      <c r="G4" s="1" t="s">
        <v>79</v>
      </c>
      <c r="H4" s="1" t="s">
        <v>63</v>
      </c>
      <c r="I4" s="1">
        <v>740</v>
      </c>
      <c r="J4" s="2">
        <f t="shared" ref="J4:J35" si="0">LN(I4/((2022-D4)*C4))+1</f>
        <v>4.0802896615820536</v>
      </c>
      <c r="K4" s="1">
        <v>18</v>
      </c>
      <c r="L4" s="1">
        <v>15.79</v>
      </c>
      <c r="M4" s="2">
        <f t="shared" ref="M4:M35" si="1">K4/L4</f>
        <v>1.1399620012666245</v>
      </c>
      <c r="N4" s="2">
        <f t="shared" ref="N4:N35" si="2">ABS((J4 - MEDIAN($J$4:$J$34))/MAX($J$4:$J$34) - (M4 - MEDIAN($M$4:$M$34))/MAX($M$4:$M$34))</f>
        <v>0.22935705282256458</v>
      </c>
      <c r="O4" s="3">
        <f t="shared" ref="O4:O35" si="3">SIGN((J4 - MEDIAN($J$4:$J$34))/MAX($J$4:$J$34) - (M4 - MEDIAN($M$4:$M$34))/MAX($M$4:$M$34))</f>
        <v>1</v>
      </c>
      <c r="P4" s="1">
        <v>19</v>
      </c>
      <c r="Q4" s="1">
        <v>6</v>
      </c>
      <c r="S4" s="34"/>
      <c r="T4" s="34"/>
      <c r="U4" s="35"/>
      <c r="V4" s="36"/>
      <c r="W4" s="36"/>
    </row>
    <row r="5" spans="1:23" ht="12" x14ac:dyDescent="0.2">
      <c r="A5" s="1">
        <v>2</v>
      </c>
      <c r="B5" s="1" t="s">
        <v>270</v>
      </c>
      <c r="C5" s="1">
        <v>2</v>
      </c>
      <c r="D5" s="1">
        <v>2015</v>
      </c>
      <c r="E5" s="1" t="s">
        <v>62</v>
      </c>
      <c r="F5" s="1" t="s">
        <v>70</v>
      </c>
      <c r="G5" s="1" t="s">
        <v>188</v>
      </c>
      <c r="H5" s="1" t="s">
        <v>63</v>
      </c>
      <c r="I5" s="1">
        <v>187</v>
      </c>
      <c r="J5" s="2">
        <f t="shared" si="0"/>
        <v>3.592051287239328</v>
      </c>
      <c r="K5" s="1">
        <v>34</v>
      </c>
      <c r="L5" s="1">
        <v>15.79</v>
      </c>
      <c r="M5" s="2">
        <f t="shared" si="1"/>
        <v>2.1532615579480687</v>
      </c>
      <c r="N5" s="2">
        <f t="shared" si="2"/>
        <v>0.21301138918091486</v>
      </c>
      <c r="O5" s="3">
        <f t="shared" si="3"/>
        <v>-1</v>
      </c>
      <c r="P5" s="1">
        <v>91</v>
      </c>
      <c r="Q5" s="1">
        <v>5</v>
      </c>
      <c r="S5" s="52" t="s">
        <v>333</v>
      </c>
      <c r="T5" s="53"/>
      <c r="U5" s="53"/>
      <c r="V5" s="53"/>
      <c r="W5" s="54"/>
    </row>
    <row r="6" spans="1:23" x14ac:dyDescent="0.2">
      <c r="A6" s="1">
        <v>3</v>
      </c>
      <c r="B6" s="1" t="s">
        <v>6</v>
      </c>
      <c r="C6" s="1">
        <v>1</v>
      </c>
      <c r="D6" s="1">
        <v>2020</v>
      </c>
      <c r="E6" s="1" t="s">
        <v>64</v>
      </c>
      <c r="F6" s="1" t="s">
        <v>73</v>
      </c>
      <c r="G6" s="1" t="s">
        <v>65</v>
      </c>
      <c r="H6" s="1" t="s">
        <v>63</v>
      </c>
      <c r="I6" s="1">
        <v>398</v>
      </c>
      <c r="J6" s="2">
        <f t="shared" si="0"/>
        <v>6.2933048247244923</v>
      </c>
      <c r="K6" s="1">
        <v>37</v>
      </c>
      <c r="L6" s="1">
        <v>15.79</v>
      </c>
      <c r="M6" s="2">
        <f t="shared" si="1"/>
        <v>2.3432552248258394</v>
      </c>
      <c r="N6" s="2">
        <f t="shared" si="2"/>
        <v>0.1478174438369019</v>
      </c>
      <c r="O6" s="3">
        <f t="shared" si="3"/>
        <v>1</v>
      </c>
      <c r="P6" s="1">
        <v>49.5</v>
      </c>
      <c r="Q6" s="1">
        <v>5</v>
      </c>
      <c r="S6" s="9" t="s">
        <v>329</v>
      </c>
      <c r="T6" s="10"/>
      <c r="V6" s="15" t="s">
        <v>316</v>
      </c>
      <c r="W6" s="16"/>
    </row>
    <row r="7" spans="1:23" x14ac:dyDescent="0.2">
      <c r="A7" s="1">
        <v>4</v>
      </c>
      <c r="B7" s="1" t="s">
        <v>40</v>
      </c>
      <c r="C7" s="1">
        <v>1</v>
      </c>
      <c r="D7" s="1">
        <v>2018</v>
      </c>
      <c r="E7" s="1" t="s">
        <v>105</v>
      </c>
      <c r="G7" s="1" t="s">
        <v>188</v>
      </c>
      <c r="H7" s="1" t="s">
        <v>63</v>
      </c>
      <c r="I7" s="1">
        <v>278</v>
      </c>
      <c r="J7" s="2">
        <f t="shared" si="0"/>
        <v>5.2413267525707461</v>
      </c>
      <c r="K7" s="1">
        <v>18</v>
      </c>
      <c r="L7" s="1">
        <v>9</v>
      </c>
      <c r="M7" s="2">
        <f t="shared" si="1"/>
        <v>2</v>
      </c>
      <c r="N7" s="2">
        <f t="shared" si="2"/>
        <v>0.10423103490067971</v>
      </c>
      <c r="O7" s="3">
        <f t="shared" si="3"/>
        <v>1</v>
      </c>
      <c r="P7" s="1">
        <v>49.5</v>
      </c>
      <c r="Q7" s="1">
        <v>2</v>
      </c>
      <c r="S7" s="6" t="s">
        <v>335</v>
      </c>
      <c r="T7" s="11">
        <f>MIN(2727,2010)</f>
        <v>2010</v>
      </c>
      <c r="V7" s="4" t="s">
        <v>304</v>
      </c>
      <c r="W7" s="5">
        <f>AVERAGE(J6:J105)</f>
        <v>4.7476676596957237</v>
      </c>
    </row>
    <row r="8" spans="1:23" x14ac:dyDescent="0.2">
      <c r="A8" s="1">
        <v>5</v>
      </c>
      <c r="B8" s="1" t="s">
        <v>41</v>
      </c>
      <c r="C8" s="1">
        <v>3</v>
      </c>
      <c r="D8" s="1">
        <v>2017</v>
      </c>
      <c r="E8" s="1" t="s">
        <v>189</v>
      </c>
      <c r="G8" s="1" t="s">
        <v>188</v>
      </c>
      <c r="H8" s="1" t="s">
        <v>60</v>
      </c>
      <c r="I8" s="1">
        <v>716</v>
      </c>
      <c r="J8" s="2">
        <f t="shared" si="0"/>
        <v>4.8656299658584352</v>
      </c>
      <c r="K8" s="1">
        <v>18</v>
      </c>
      <c r="L8" s="1">
        <v>9</v>
      </c>
      <c r="M8" s="2">
        <f t="shared" si="1"/>
        <v>2</v>
      </c>
      <c r="N8" s="2">
        <f t="shared" si="2"/>
        <v>4.4533181836847215E-2</v>
      </c>
      <c r="O8" s="3">
        <f t="shared" si="3"/>
        <v>1</v>
      </c>
      <c r="P8" s="1">
        <v>60.5</v>
      </c>
      <c r="Q8" s="1">
        <v>2</v>
      </c>
      <c r="S8" s="6" t="s">
        <v>294</v>
      </c>
      <c r="T8" s="11">
        <f>SUM(11*(2^3-2)/12 + 9*(3^3-3)/12 + 2*(5^3-5)/12 + (6^3-6)/12)</f>
        <v>61</v>
      </c>
      <c r="V8" s="6" t="s">
        <v>306</v>
      </c>
      <c r="W8" s="7">
        <f>_xlfn.STDEV.S(J6:J105)</f>
        <v>0.70019765297405823</v>
      </c>
    </row>
    <row r="9" spans="1:23" x14ac:dyDescent="0.2">
      <c r="A9" s="1">
        <v>6</v>
      </c>
      <c r="B9" s="1" t="s">
        <v>42</v>
      </c>
      <c r="C9" s="1">
        <v>5</v>
      </c>
      <c r="D9" s="1">
        <v>2019</v>
      </c>
      <c r="E9" s="1" t="s">
        <v>185</v>
      </c>
      <c r="F9" s="1" t="s">
        <v>186</v>
      </c>
      <c r="G9" s="1" t="s">
        <v>188</v>
      </c>
      <c r="H9" s="1" t="s">
        <v>63</v>
      </c>
      <c r="I9" s="1">
        <v>751</v>
      </c>
      <c r="J9" s="2">
        <f t="shared" si="0"/>
        <v>4.9133554506619248</v>
      </c>
      <c r="K9" s="1">
        <v>20</v>
      </c>
      <c r="L9" s="1">
        <v>9</v>
      </c>
      <c r="M9" s="2">
        <f t="shared" si="1"/>
        <v>2.2222222222222223</v>
      </c>
      <c r="N9" s="2">
        <f t="shared" si="2"/>
        <v>2.788328516535641E-2</v>
      </c>
      <c r="O9" s="3">
        <f t="shared" si="3"/>
        <v>-1</v>
      </c>
      <c r="P9" s="1">
        <v>70.5</v>
      </c>
      <c r="Q9" s="1">
        <v>2</v>
      </c>
      <c r="S9" s="6" t="s">
        <v>336</v>
      </c>
      <c r="T9" s="11">
        <f>100*101/4</f>
        <v>2525</v>
      </c>
      <c r="V9" s="8" t="s">
        <v>297</v>
      </c>
      <c r="W9" s="13" t="s">
        <v>295</v>
      </c>
    </row>
    <row r="10" spans="1:23" x14ac:dyDescent="0.2">
      <c r="A10" s="1">
        <v>7</v>
      </c>
      <c r="B10" s="1" t="s">
        <v>27</v>
      </c>
      <c r="C10" s="1">
        <v>1</v>
      </c>
      <c r="D10" s="1">
        <v>2001</v>
      </c>
      <c r="E10" s="1" t="s">
        <v>190</v>
      </c>
      <c r="G10" s="1" t="s">
        <v>188</v>
      </c>
      <c r="H10" s="1" t="s">
        <v>63</v>
      </c>
      <c r="I10" s="1">
        <v>1169</v>
      </c>
      <c r="J10" s="2">
        <f t="shared" si="0"/>
        <v>5.0193815237486454</v>
      </c>
      <c r="K10" s="1">
        <v>19</v>
      </c>
      <c r="L10" s="1">
        <v>9</v>
      </c>
      <c r="M10" s="2">
        <f t="shared" si="1"/>
        <v>2.1111111111111112</v>
      </c>
      <c r="N10" s="2">
        <f t="shared" si="2"/>
        <v>2.8964154461304667E-2</v>
      </c>
      <c r="O10" s="3">
        <f t="shared" si="3"/>
        <v>1</v>
      </c>
      <c r="P10" s="1">
        <v>62.5</v>
      </c>
      <c r="Q10" s="1">
        <v>4</v>
      </c>
      <c r="S10" s="6" t="s">
        <v>337</v>
      </c>
      <c r="T10" s="11">
        <f>SQRT((100*101*201 - T8) / 24)</f>
        <v>290.83493313791126</v>
      </c>
      <c r="V10" s="15" t="s">
        <v>317</v>
      </c>
      <c r="W10" s="16"/>
    </row>
    <row r="11" spans="1:23" x14ac:dyDescent="0.2">
      <c r="A11" s="1">
        <v>8</v>
      </c>
      <c r="B11" s="1" t="s">
        <v>28</v>
      </c>
      <c r="C11" s="1">
        <v>1</v>
      </c>
      <c r="D11" s="1">
        <v>2011</v>
      </c>
      <c r="E11" s="1" t="s">
        <v>66</v>
      </c>
      <c r="F11" s="1" t="s">
        <v>68</v>
      </c>
      <c r="G11" s="1" t="s">
        <v>188</v>
      </c>
      <c r="H11" s="1" t="s">
        <v>63</v>
      </c>
      <c r="I11" s="1">
        <v>367</v>
      </c>
      <c r="J11" s="2">
        <f t="shared" si="0"/>
        <v>4.5074665752562</v>
      </c>
      <c r="K11" s="1">
        <v>24</v>
      </c>
      <c r="L11" s="1">
        <v>12.18</v>
      </c>
      <c r="M11" s="2">
        <f t="shared" si="1"/>
        <v>1.9704433497536946</v>
      </c>
      <c r="N11" s="2">
        <f t="shared" si="2"/>
        <v>1.7382375933703356E-3</v>
      </c>
      <c r="O11" s="3">
        <f t="shared" si="3"/>
        <v>-1</v>
      </c>
      <c r="P11" s="1">
        <v>65</v>
      </c>
      <c r="Q11" s="1">
        <v>4</v>
      </c>
      <c r="S11" s="6" t="s">
        <v>338</v>
      </c>
      <c r="T11" s="7">
        <f xml:space="preserve"> (T7-T9) / T10</f>
        <v>-1.7707638984199732</v>
      </c>
      <c r="V11" s="4" t="s">
        <v>305</v>
      </c>
      <c r="W11" s="5">
        <f>AVERAGE(M6:M105)</f>
        <v>1.8458709369486517</v>
      </c>
    </row>
    <row r="12" spans="1:23" x14ac:dyDescent="0.2">
      <c r="A12" s="1">
        <v>9</v>
      </c>
      <c r="B12" s="1" t="s">
        <v>43</v>
      </c>
      <c r="C12" s="1">
        <v>1</v>
      </c>
      <c r="D12" s="1">
        <v>2013</v>
      </c>
      <c r="E12" s="1" t="s">
        <v>187</v>
      </c>
      <c r="G12" s="1" t="s">
        <v>188</v>
      </c>
      <c r="H12" s="1" t="s">
        <v>63</v>
      </c>
      <c r="I12" s="1">
        <v>475</v>
      </c>
      <c r="J12" s="2">
        <f t="shared" si="0"/>
        <v>4.9660902266984213</v>
      </c>
      <c r="K12" s="1">
        <v>17</v>
      </c>
      <c r="L12" s="1">
        <v>9</v>
      </c>
      <c r="M12" s="2">
        <f t="shared" si="1"/>
        <v>1.8888888888888888</v>
      </c>
      <c r="N12" s="2">
        <f t="shared" si="2"/>
        <v>0.10049621932476743</v>
      </c>
      <c r="O12" s="3">
        <f t="shared" si="3"/>
        <v>1</v>
      </c>
      <c r="P12" s="1">
        <v>44</v>
      </c>
      <c r="Q12" s="1">
        <v>2</v>
      </c>
      <c r="S12" s="6" t="s">
        <v>339</v>
      </c>
      <c r="T12" s="7">
        <f>1-0.9616</f>
        <v>3.839999999999999E-2</v>
      </c>
      <c r="V12" s="6" t="s">
        <v>307</v>
      </c>
      <c r="W12" s="7">
        <f>_xlfn.STDEV.S(M6:M105)</f>
        <v>0.46391962400649805</v>
      </c>
    </row>
    <row r="13" spans="1:23" x14ac:dyDescent="0.2">
      <c r="A13" s="1">
        <v>10</v>
      </c>
      <c r="B13" s="1" t="s">
        <v>29</v>
      </c>
      <c r="C13" s="1">
        <v>4</v>
      </c>
      <c r="D13" s="1">
        <v>2012</v>
      </c>
      <c r="E13" s="1" t="s">
        <v>132</v>
      </c>
      <c r="F13" s="1" t="s">
        <v>133</v>
      </c>
      <c r="G13" s="1" t="s">
        <v>79</v>
      </c>
      <c r="H13" s="1" t="s">
        <v>63</v>
      </c>
      <c r="I13" s="1">
        <v>253</v>
      </c>
      <c r="J13" s="2">
        <f t="shared" si="0"/>
        <v>2.8445100346135836</v>
      </c>
      <c r="K13" s="1">
        <v>18</v>
      </c>
      <c r="L13" s="1">
        <v>9</v>
      </c>
      <c r="M13" s="2">
        <f t="shared" si="1"/>
        <v>2</v>
      </c>
      <c r="N13" s="2">
        <f t="shared" si="2"/>
        <v>0.27662080442876036</v>
      </c>
      <c r="O13" s="3">
        <f t="shared" si="3"/>
        <v>-1</v>
      </c>
      <c r="P13" s="1">
        <v>93</v>
      </c>
      <c r="Q13" s="1">
        <v>4</v>
      </c>
      <c r="S13" s="12" t="s">
        <v>318</v>
      </c>
      <c r="T13" s="40" t="s">
        <v>319</v>
      </c>
      <c r="V13" s="8" t="s">
        <v>297</v>
      </c>
      <c r="W13" s="14" t="s">
        <v>296</v>
      </c>
    </row>
    <row r="14" spans="1:23" ht="11.25" customHeight="1" x14ac:dyDescent="0.2">
      <c r="A14" s="1">
        <v>11</v>
      </c>
      <c r="B14" s="1" t="s">
        <v>199</v>
      </c>
      <c r="C14" s="1">
        <v>3</v>
      </c>
      <c r="D14" s="1">
        <v>1999</v>
      </c>
      <c r="E14" s="1" t="s">
        <v>200</v>
      </c>
      <c r="F14" s="1" t="s">
        <v>201</v>
      </c>
      <c r="G14" s="1" t="s">
        <v>188</v>
      </c>
      <c r="H14" s="1" t="s">
        <v>63</v>
      </c>
      <c r="I14" s="1">
        <v>1087</v>
      </c>
      <c r="J14" s="2">
        <f t="shared" si="0"/>
        <v>3.75707038252395</v>
      </c>
      <c r="K14" s="1">
        <v>27</v>
      </c>
      <c r="L14" s="1">
        <v>15.79</v>
      </c>
      <c r="M14" s="2">
        <f t="shared" si="1"/>
        <v>1.7099430018999369</v>
      </c>
      <c r="N14" s="2">
        <f t="shared" si="2"/>
        <v>2.7195335674218044E-2</v>
      </c>
      <c r="O14" s="3">
        <f t="shared" si="3"/>
        <v>-1</v>
      </c>
      <c r="P14" s="1">
        <v>65</v>
      </c>
      <c r="Q14" s="1">
        <v>5</v>
      </c>
    </row>
    <row r="15" spans="1:23" x14ac:dyDescent="0.2">
      <c r="A15" s="1">
        <v>12</v>
      </c>
      <c r="B15" s="1" t="s">
        <v>192</v>
      </c>
      <c r="C15" s="1">
        <v>4</v>
      </c>
      <c r="D15" s="1">
        <v>2003</v>
      </c>
      <c r="E15" s="1" t="s">
        <v>193</v>
      </c>
      <c r="F15" s="1" t="s">
        <v>182</v>
      </c>
      <c r="G15" s="1" t="s">
        <v>188</v>
      </c>
      <c r="H15" s="1" t="s">
        <v>63</v>
      </c>
      <c r="I15" s="1">
        <v>3864</v>
      </c>
      <c r="J15" s="2">
        <f t="shared" si="0"/>
        <v>4.9287248550460774</v>
      </c>
      <c r="K15" s="1">
        <v>40</v>
      </c>
      <c r="L15" s="1">
        <v>15.79</v>
      </c>
      <c r="M15" s="2">
        <f t="shared" si="1"/>
        <v>2.53324889170361</v>
      </c>
      <c r="N15" s="2">
        <f t="shared" si="2"/>
        <v>0.13741070280883558</v>
      </c>
      <c r="O15" s="3">
        <f t="shared" si="3"/>
        <v>-1</v>
      </c>
      <c r="P15" s="1">
        <v>90</v>
      </c>
      <c r="Q15" s="1">
        <v>5</v>
      </c>
    </row>
    <row r="16" spans="1:23" x14ac:dyDescent="0.2">
      <c r="A16" s="1">
        <v>13</v>
      </c>
      <c r="B16" s="1" t="s">
        <v>191</v>
      </c>
      <c r="C16" s="1">
        <v>4</v>
      </c>
      <c r="D16" s="1">
        <v>2018</v>
      </c>
      <c r="E16" s="1" t="s">
        <v>67</v>
      </c>
      <c r="F16" s="1" t="s">
        <v>69</v>
      </c>
      <c r="G16" s="1" t="s">
        <v>188</v>
      </c>
      <c r="H16" s="1" t="s">
        <v>63</v>
      </c>
      <c r="I16" s="1">
        <v>163</v>
      </c>
      <c r="J16" s="2">
        <f t="shared" si="0"/>
        <v>3.3211614785669812</v>
      </c>
      <c r="K16" s="1">
        <v>31</v>
      </c>
      <c r="L16" s="1">
        <v>15.79</v>
      </c>
      <c r="M16" s="2">
        <f t="shared" si="1"/>
        <v>1.9632678910702979</v>
      </c>
      <c r="N16" s="2">
        <f t="shared" si="2"/>
        <v>0.18765779555626969</v>
      </c>
      <c r="O16" s="3">
        <f t="shared" si="3"/>
        <v>-1</v>
      </c>
      <c r="P16" s="1">
        <v>87</v>
      </c>
      <c r="Q16" s="1">
        <v>5</v>
      </c>
    </row>
    <row r="17" spans="1:23" ht="12" x14ac:dyDescent="0.2">
      <c r="A17" s="1">
        <v>14</v>
      </c>
      <c r="B17" s="1" t="s">
        <v>7</v>
      </c>
      <c r="C17" s="1">
        <v>3</v>
      </c>
      <c r="D17" s="1">
        <v>2021</v>
      </c>
      <c r="E17" s="1" t="s">
        <v>183</v>
      </c>
      <c r="F17" s="1" t="s">
        <v>184</v>
      </c>
      <c r="G17" s="1" t="s">
        <v>188</v>
      </c>
      <c r="H17" s="1" t="s">
        <v>63</v>
      </c>
      <c r="I17" s="1">
        <v>81</v>
      </c>
      <c r="J17" s="2">
        <f t="shared" si="0"/>
        <v>4.2958368660043291</v>
      </c>
      <c r="K17" s="1">
        <v>33</v>
      </c>
      <c r="L17" s="1">
        <v>15.79</v>
      </c>
      <c r="M17" s="2">
        <f t="shared" si="1"/>
        <v>2.0899303356554784</v>
      </c>
      <c r="N17" s="2">
        <f t="shared" si="2"/>
        <v>7.838130695641847E-2</v>
      </c>
      <c r="O17" s="3">
        <f t="shared" si="3"/>
        <v>-1</v>
      </c>
      <c r="P17" s="1">
        <v>77.5</v>
      </c>
      <c r="Q17" s="1">
        <v>5</v>
      </c>
      <c r="S17" s="45" t="s">
        <v>334</v>
      </c>
      <c r="T17" s="46"/>
      <c r="U17" s="46"/>
      <c r="V17" s="46"/>
      <c r="W17" s="47"/>
    </row>
    <row r="18" spans="1:23" x14ac:dyDescent="0.2">
      <c r="A18" s="1">
        <v>15</v>
      </c>
      <c r="B18" s="1" t="s">
        <v>44</v>
      </c>
      <c r="C18" s="1">
        <v>1</v>
      </c>
      <c r="D18" s="1">
        <v>2015</v>
      </c>
      <c r="E18" s="1" t="s">
        <v>74</v>
      </c>
      <c r="F18" s="1" t="s">
        <v>75</v>
      </c>
      <c r="G18" s="1" t="s">
        <v>188</v>
      </c>
      <c r="H18" s="1" t="s">
        <v>63</v>
      </c>
      <c r="I18" s="1">
        <v>287</v>
      </c>
      <c r="J18" s="2">
        <f t="shared" si="0"/>
        <v>4.713572066704308</v>
      </c>
      <c r="K18" s="1">
        <v>17</v>
      </c>
      <c r="L18" s="1">
        <v>9</v>
      </c>
      <c r="M18" s="2">
        <f t="shared" si="1"/>
        <v>1.8888888888888888</v>
      </c>
      <c r="N18" s="2">
        <f t="shared" si="2"/>
        <v>6.0371329934054016E-2</v>
      </c>
      <c r="O18" s="3">
        <f t="shared" si="3"/>
        <v>1</v>
      </c>
      <c r="P18" s="1">
        <v>58</v>
      </c>
      <c r="Q18" s="1">
        <v>2</v>
      </c>
      <c r="S18" s="21" t="s">
        <v>328</v>
      </c>
      <c r="T18" s="48" t="s">
        <v>320</v>
      </c>
      <c r="U18" s="48"/>
      <c r="V18" s="48"/>
      <c r="W18" s="22" t="s">
        <v>331</v>
      </c>
    </row>
    <row r="19" spans="1:23" x14ac:dyDescent="0.2">
      <c r="A19" s="1">
        <v>16</v>
      </c>
      <c r="B19" s="1" t="s">
        <v>202</v>
      </c>
      <c r="C19" s="1">
        <v>3</v>
      </c>
      <c r="D19" s="1">
        <v>2019</v>
      </c>
      <c r="E19" s="1" t="s">
        <v>203</v>
      </c>
      <c r="F19" s="1" t="s">
        <v>204</v>
      </c>
      <c r="G19" s="1" t="s">
        <v>188</v>
      </c>
      <c r="H19" s="1" t="s">
        <v>63</v>
      </c>
      <c r="I19" s="1">
        <v>619</v>
      </c>
      <c r="J19" s="2">
        <f t="shared" si="0"/>
        <v>5.2308806953483762</v>
      </c>
      <c r="K19" s="1">
        <v>32</v>
      </c>
      <c r="L19" s="1">
        <v>17.97</v>
      </c>
      <c r="M19" s="2">
        <f t="shared" si="1"/>
        <v>1.7807456872565388</v>
      </c>
      <c r="N19" s="2">
        <f t="shared" si="2"/>
        <v>0.1815027191817199</v>
      </c>
      <c r="O19" s="3">
        <f t="shared" si="3"/>
        <v>1</v>
      </c>
      <c r="P19" s="1">
        <v>22.5</v>
      </c>
      <c r="Q19" s="1">
        <v>2</v>
      </c>
      <c r="S19" s="41">
        <v>1</v>
      </c>
      <c r="T19" s="43" t="s">
        <v>321</v>
      </c>
      <c r="U19" s="43"/>
      <c r="V19" s="43"/>
      <c r="W19" s="17">
        <v>12</v>
      </c>
    </row>
    <row r="20" spans="1:23" x14ac:dyDescent="0.2">
      <c r="A20" s="1">
        <v>17</v>
      </c>
      <c r="B20" s="1" t="s">
        <v>271</v>
      </c>
      <c r="C20" s="1">
        <v>2</v>
      </c>
      <c r="D20" s="1">
        <v>2005</v>
      </c>
      <c r="E20" s="1" t="s">
        <v>71</v>
      </c>
      <c r="F20" s="1" t="s">
        <v>182</v>
      </c>
      <c r="G20" s="1" t="s">
        <v>65</v>
      </c>
      <c r="H20" s="1" t="s">
        <v>63</v>
      </c>
      <c r="I20" s="1">
        <v>1549</v>
      </c>
      <c r="J20" s="2">
        <f t="shared" si="0"/>
        <v>4.8190043158007079</v>
      </c>
      <c r="K20" s="1">
        <v>36</v>
      </c>
      <c r="L20" s="1">
        <v>15.79</v>
      </c>
      <c r="M20" s="2">
        <f t="shared" si="1"/>
        <v>2.279924002533249</v>
      </c>
      <c r="N20" s="2">
        <f t="shared" si="2"/>
        <v>6.3648229404274337E-2</v>
      </c>
      <c r="O20" s="3">
        <f t="shared" si="3"/>
        <v>-1</v>
      </c>
      <c r="P20" s="1">
        <v>80</v>
      </c>
      <c r="Q20" s="1">
        <v>5</v>
      </c>
      <c r="S20" s="41">
        <v>2</v>
      </c>
      <c r="T20" s="43" t="s">
        <v>322</v>
      </c>
      <c r="U20" s="43"/>
      <c r="V20" s="43"/>
      <c r="W20" s="17">
        <v>23</v>
      </c>
    </row>
    <row r="21" spans="1:23" x14ac:dyDescent="0.2">
      <c r="A21" s="1">
        <v>18</v>
      </c>
      <c r="B21" s="1" t="s">
        <v>0</v>
      </c>
      <c r="C21" s="1">
        <v>5</v>
      </c>
      <c r="D21" s="1">
        <v>2016</v>
      </c>
      <c r="E21" s="1" t="s">
        <v>125</v>
      </c>
      <c r="F21" s="1" t="s">
        <v>160</v>
      </c>
      <c r="G21" s="1" t="s">
        <v>65</v>
      </c>
      <c r="H21" s="1" t="s">
        <v>63</v>
      </c>
      <c r="I21" s="1">
        <v>1082</v>
      </c>
      <c r="J21" s="2">
        <f t="shared" si="0"/>
        <v>4.5853690777442715</v>
      </c>
      <c r="K21" s="1">
        <v>34</v>
      </c>
      <c r="L21" s="1">
        <v>15.79</v>
      </c>
      <c r="M21" s="2">
        <f t="shared" si="1"/>
        <v>2.1532615579480687</v>
      </c>
      <c r="N21" s="2">
        <f t="shared" si="2"/>
        <v>5.5174160861304743E-2</v>
      </c>
      <c r="O21" s="3">
        <f t="shared" si="3"/>
        <v>-1</v>
      </c>
      <c r="P21" s="1">
        <v>73</v>
      </c>
      <c r="Q21" s="1">
        <v>7</v>
      </c>
      <c r="S21" s="41">
        <v>3</v>
      </c>
      <c r="T21" s="43" t="s">
        <v>323</v>
      </c>
      <c r="U21" s="43"/>
      <c r="V21" s="43"/>
      <c r="W21" s="17">
        <v>10</v>
      </c>
    </row>
    <row r="22" spans="1:23" x14ac:dyDescent="0.2">
      <c r="A22" s="1">
        <v>19</v>
      </c>
      <c r="B22" s="1" t="s">
        <v>8</v>
      </c>
      <c r="C22" s="1">
        <v>3</v>
      </c>
      <c r="D22" s="1">
        <v>2012</v>
      </c>
      <c r="E22" s="1" t="s">
        <v>180</v>
      </c>
      <c r="F22" s="1" t="s">
        <v>181</v>
      </c>
      <c r="G22" s="1" t="s">
        <v>65</v>
      </c>
      <c r="H22" s="1" t="s">
        <v>63</v>
      </c>
      <c r="I22" s="1">
        <v>449</v>
      </c>
      <c r="J22" s="2">
        <f t="shared" si="0"/>
        <v>3.7058255060800991</v>
      </c>
      <c r="K22" s="1">
        <v>32</v>
      </c>
      <c r="L22" s="1">
        <v>15.79</v>
      </c>
      <c r="M22" s="2">
        <f t="shared" si="1"/>
        <v>2.026599113362888</v>
      </c>
      <c r="N22" s="2">
        <f t="shared" si="2"/>
        <v>0.14933429669854512</v>
      </c>
      <c r="O22" s="3">
        <f t="shared" si="3"/>
        <v>-1</v>
      </c>
      <c r="P22" s="1">
        <v>86</v>
      </c>
      <c r="Q22" s="1">
        <v>5</v>
      </c>
      <c r="S22" s="41">
        <v>4</v>
      </c>
      <c r="T22" s="43" t="s">
        <v>324</v>
      </c>
      <c r="U22" s="43"/>
      <c r="V22" s="43"/>
      <c r="W22" s="17">
        <v>22</v>
      </c>
    </row>
    <row r="23" spans="1:23" x14ac:dyDescent="0.2">
      <c r="A23" s="1">
        <v>20</v>
      </c>
      <c r="B23" s="1" t="s">
        <v>272</v>
      </c>
      <c r="C23" s="1">
        <v>2</v>
      </c>
      <c r="D23" s="1">
        <v>2006</v>
      </c>
      <c r="E23" s="1" t="s">
        <v>118</v>
      </c>
      <c r="F23" s="1" t="s">
        <v>119</v>
      </c>
      <c r="G23" s="1" t="s">
        <v>230</v>
      </c>
      <c r="H23" s="1" t="s">
        <v>63</v>
      </c>
      <c r="I23" s="1">
        <v>1265</v>
      </c>
      <c r="J23" s="2">
        <f t="shared" si="0"/>
        <v>4.6770914983618939</v>
      </c>
      <c r="K23" s="1">
        <v>28</v>
      </c>
      <c r="L23" s="1">
        <v>17.97</v>
      </c>
      <c r="M23" s="2">
        <f t="shared" si="1"/>
        <v>1.5581524763494714</v>
      </c>
      <c r="N23" s="2">
        <f t="shared" si="2"/>
        <v>0.17363971171111042</v>
      </c>
      <c r="O23" s="3">
        <f t="shared" si="3"/>
        <v>1</v>
      </c>
      <c r="P23" s="1">
        <v>15</v>
      </c>
      <c r="Q23" s="1">
        <v>2</v>
      </c>
      <c r="S23" s="41">
        <v>5</v>
      </c>
      <c r="T23" s="43" t="s">
        <v>325</v>
      </c>
      <c r="U23" s="43"/>
      <c r="V23" s="43"/>
      <c r="W23" s="17">
        <v>20</v>
      </c>
    </row>
    <row r="24" spans="1:23" x14ac:dyDescent="0.2">
      <c r="A24" s="1">
        <v>21</v>
      </c>
      <c r="B24" s="1" t="s">
        <v>273</v>
      </c>
      <c r="C24" s="1">
        <v>2</v>
      </c>
      <c r="D24" s="1">
        <v>2017</v>
      </c>
      <c r="E24" s="1" t="s">
        <v>72</v>
      </c>
      <c r="F24" s="1" t="s">
        <v>73</v>
      </c>
      <c r="G24" s="1" t="s">
        <v>188</v>
      </c>
      <c r="H24" s="1" t="s">
        <v>63</v>
      </c>
      <c r="I24" s="1">
        <v>283</v>
      </c>
      <c r="J24" s="2">
        <f t="shared" si="0"/>
        <v>4.3428618046491918</v>
      </c>
      <c r="K24" s="1">
        <v>23</v>
      </c>
      <c r="L24" s="1">
        <v>9</v>
      </c>
      <c r="M24" s="2">
        <f t="shared" si="1"/>
        <v>2.5555555555555554</v>
      </c>
      <c r="N24" s="2">
        <f t="shared" si="2"/>
        <v>0.23853416922414777</v>
      </c>
      <c r="O24" s="3">
        <f t="shared" si="3"/>
        <v>-1</v>
      </c>
      <c r="P24" s="1">
        <v>96</v>
      </c>
      <c r="Q24" s="1">
        <v>4</v>
      </c>
      <c r="S24" s="41">
        <v>6</v>
      </c>
      <c r="T24" s="43" t="s">
        <v>326</v>
      </c>
      <c r="U24" s="43"/>
      <c r="V24" s="43"/>
      <c r="W24" s="17">
        <v>6</v>
      </c>
    </row>
    <row r="25" spans="1:23" x14ac:dyDescent="0.2">
      <c r="A25" s="1">
        <v>22</v>
      </c>
      <c r="B25" s="1" t="s">
        <v>131</v>
      </c>
      <c r="C25" s="1">
        <v>4</v>
      </c>
      <c r="D25" s="1">
        <v>2013</v>
      </c>
      <c r="E25" s="1" t="s">
        <v>129</v>
      </c>
      <c r="F25" s="1" t="s">
        <v>130</v>
      </c>
      <c r="G25" s="1" t="s">
        <v>231</v>
      </c>
      <c r="H25" s="1" t="s">
        <v>63</v>
      </c>
      <c r="I25" s="1">
        <v>578</v>
      </c>
      <c r="J25" s="2">
        <f t="shared" si="0"/>
        <v>3.7760549302162674</v>
      </c>
      <c r="K25" s="1">
        <v>18</v>
      </c>
      <c r="L25" s="1">
        <v>9</v>
      </c>
      <c r="M25" s="2">
        <f t="shared" si="1"/>
        <v>2</v>
      </c>
      <c r="N25" s="2">
        <f t="shared" si="2"/>
        <v>0.12859922887390635</v>
      </c>
      <c r="O25" s="3">
        <f t="shared" si="3"/>
        <v>-1</v>
      </c>
      <c r="P25" s="1">
        <v>83</v>
      </c>
      <c r="Q25" s="1">
        <v>4</v>
      </c>
      <c r="S25" s="41">
        <v>7</v>
      </c>
      <c r="T25" s="43" t="s">
        <v>327</v>
      </c>
      <c r="U25" s="43"/>
      <c r="V25" s="43"/>
      <c r="W25" s="17">
        <v>7</v>
      </c>
    </row>
    <row r="26" spans="1:23" x14ac:dyDescent="0.2">
      <c r="A26" s="1">
        <v>23</v>
      </c>
      <c r="B26" s="1" t="s">
        <v>52</v>
      </c>
      <c r="C26" s="1">
        <v>4</v>
      </c>
      <c r="D26" s="1">
        <v>2020</v>
      </c>
      <c r="E26" s="1" t="s">
        <v>127</v>
      </c>
      <c r="F26" s="1" t="s">
        <v>128</v>
      </c>
      <c r="G26" s="1" t="s">
        <v>231</v>
      </c>
      <c r="H26" s="1" t="s">
        <v>63</v>
      </c>
      <c r="I26" s="1">
        <v>89</v>
      </c>
      <c r="J26" s="2">
        <f t="shared" si="0"/>
        <v>3.4091948280523039</v>
      </c>
      <c r="K26" s="1">
        <v>21</v>
      </c>
      <c r="L26" s="1">
        <v>9</v>
      </c>
      <c r="M26" s="2">
        <f t="shared" si="1"/>
        <v>2.3333333333333335</v>
      </c>
      <c r="N26" s="2">
        <f t="shared" si="2"/>
        <v>0.30689294137972389</v>
      </c>
      <c r="O26" s="3">
        <f t="shared" si="3"/>
        <v>-1</v>
      </c>
      <c r="P26" s="1">
        <v>98</v>
      </c>
      <c r="Q26" s="1">
        <v>3</v>
      </c>
      <c r="S26" s="18"/>
      <c r="T26" s="19"/>
      <c r="U26" s="19"/>
      <c r="V26" s="19"/>
      <c r="W26" s="20">
        <f>SUM(W19:W25)</f>
        <v>100</v>
      </c>
    </row>
    <row r="27" spans="1:23" x14ac:dyDescent="0.2">
      <c r="A27" s="1">
        <v>24</v>
      </c>
      <c r="B27" s="1" t="s">
        <v>53</v>
      </c>
      <c r="C27" s="1">
        <v>3</v>
      </c>
      <c r="D27" s="1">
        <v>2017</v>
      </c>
      <c r="E27" s="1" t="s">
        <v>179</v>
      </c>
      <c r="F27" s="1" t="s">
        <v>179</v>
      </c>
      <c r="G27" s="1" t="s">
        <v>230</v>
      </c>
      <c r="H27" s="1" t="s">
        <v>60</v>
      </c>
      <c r="I27" s="1">
        <v>464</v>
      </c>
      <c r="J27" s="2">
        <f t="shared" si="0"/>
        <v>4.4318343511240457</v>
      </c>
      <c r="K27" s="1">
        <v>22</v>
      </c>
      <c r="L27" s="1">
        <v>9</v>
      </c>
      <c r="M27" s="2">
        <f t="shared" si="1"/>
        <v>2.4444444444444446</v>
      </c>
      <c r="N27" s="2">
        <f t="shared" si="2"/>
        <v>0.18439651834709084</v>
      </c>
      <c r="O27" s="3">
        <f t="shared" si="3"/>
        <v>-1</v>
      </c>
      <c r="P27" s="1">
        <v>92</v>
      </c>
      <c r="Q27" s="1">
        <v>3</v>
      </c>
    </row>
    <row r="28" spans="1:23" x14ac:dyDescent="0.2">
      <c r="A28" s="1">
        <v>25</v>
      </c>
      <c r="B28" s="1" t="s">
        <v>205</v>
      </c>
      <c r="C28" s="1">
        <v>6</v>
      </c>
      <c r="D28" s="1">
        <v>2015</v>
      </c>
      <c r="E28" s="1" t="s">
        <v>206</v>
      </c>
      <c r="F28" s="1" t="s">
        <v>207</v>
      </c>
      <c r="G28" s="1" t="s">
        <v>188</v>
      </c>
      <c r="H28" s="1" t="s">
        <v>63</v>
      </c>
      <c r="I28" s="1">
        <v>849</v>
      </c>
      <c r="J28" s="2">
        <f t="shared" si="0"/>
        <v>4.0063895680279789</v>
      </c>
      <c r="K28" s="1">
        <v>28</v>
      </c>
      <c r="L28" s="1">
        <v>15.79</v>
      </c>
      <c r="M28" s="2">
        <f t="shared" si="1"/>
        <v>1.773274224192527</v>
      </c>
      <c r="N28" s="2">
        <f t="shared" si="2"/>
        <v>1.0378000235967508E-2</v>
      </c>
      <c r="O28" s="3">
        <f t="shared" si="3"/>
        <v>-1</v>
      </c>
      <c r="P28" s="1">
        <v>62.5</v>
      </c>
      <c r="Q28" s="1">
        <v>5</v>
      </c>
    </row>
    <row r="29" spans="1:23" x14ac:dyDescent="0.2">
      <c r="A29" s="1">
        <v>26</v>
      </c>
      <c r="B29" s="1" t="s">
        <v>76</v>
      </c>
      <c r="C29" s="1">
        <v>2</v>
      </c>
      <c r="D29" s="1">
        <v>2021</v>
      </c>
      <c r="E29" s="1" t="s">
        <v>77</v>
      </c>
      <c r="F29" s="1" t="s">
        <v>78</v>
      </c>
      <c r="G29" s="1" t="s">
        <v>79</v>
      </c>
      <c r="H29" s="1" t="s">
        <v>63</v>
      </c>
      <c r="I29" s="1">
        <v>139</v>
      </c>
      <c r="J29" s="2">
        <f t="shared" si="0"/>
        <v>5.2413267525707461</v>
      </c>
      <c r="K29" s="1">
        <v>19</v>
      </c>
      <c r="L29" s="1">
        <v>12.18</v>
      </c>
      <c r="M29" s="2">
        <f t="shared" si="1"/>
        <v>1.5599343185550083</v>
      </c>
      <c r="N29" s="2">
        <f t="shared" si="2"/>
        <v>0.26265468022087674</v>
      </c>
      <c r="O29" s="3">
        <f t="shared" si="3"/>
        <v>1</v>
      </c>
      <c r="P29" s="1">
        <v>12</v>
      </c>
      <c r="Q29" s="1">
        <v>3</v>
      </c>
    </row>
    <row r="30" spans="1:23" x14ac:dyDescent="0.2">
      <c r="A30" s="1">
        <v>27</v>
      </c>
      <c r="B30" s="1" t="s">
        <v>9</v>
      </c>
      <c r="C30" s="1">
        <v>4</v>
      </c>
      <c r="D30" s="1">
        <v>2014</v>
      </c>
      <c r="E30" s="1" t="s">
        <v>80</v>
      </c>
      <c r="F30" s="1" t="s">
        <v>81</v>
      </c>
      <c r="G30" s="1" t="s">
        <v>188</v>
      </c>
      <c r="H30" s="1" t="s">
        <v>63</v>
      </c>
      <c r="I30" s="1">
        <v>1082</v>
      </c>
      <c r="J30" s="2">
        <f t="shared" si="0"/>
        <v>4.5208305566067004</v>
      </c>
      <c r="K30" s="1">
        <v>26</v>
      </c>
      <c r="L30" s="1">
        <v>15.79</v>
      </c>
      <c r="M30" s="2">
        <f t="shared" si="1"/>
        <v>1.6466117796073465</v>
      </c>
      <c r="N30" s="2">
        <f t="shared" si="2"/>
        <v>0.11696465126459109</v>
      </c>
      <c r="O30" s="3">
        <f t="shared" si="3"/>
        <v>1</v>
      </c>
      <c r="P30" s="1">
        <v>29.5</v>
      </c>
      <c r="Q30" s="1">
        <v>5</v>
      </c>
      <c r="S30" s="42" t="s">
        <v>309</v>
      </c>
      <c r="T30" s="1" t="s">
        <v>340</v>
      </c>
    </row>
    <row r="31" spans="1:23" x14ac:dyDescent="0.2">
      <c r="A31" s="1">
        <v>28</v>
      </c>
      <c r="B31" s="1" t="s">
        <v>54</v>
      </c>
      <c r="C31" s="1">
        <v>4</v>
      </c>
      <c r="D31" s="1">
        <v>2019</v>
      </c>
      <c r="E31" s="1" t="s">
        <v>82</v>
      </c>
      <c r="F31" s="1" t="s">
        <v>83</v>
      </c>
      <c r="G31" s="1" t="s">
        <v>188</v>
      </c>
      <c r="H31" s="1" t="s">
        <v>63</v>
      </c>
      <c r="I31" s="1">
        <v>1547</v>
      </c>
      <c r="J31" s="2">
        <f t="shared" si="0"/>
        <v>5.859166200785066</v>
      </c>
      <c r="K31" s="1">
        <v>27</v>
      </c>
      <c r="L31" s="1">
        <v>15.79</v>
      </c>
      <c r="M31" s="2">
        <f t="shared" si="1"/>
        <v>1.7099430018999369</v>
      </c>
      <c r="N31" s="2">
        <f t="shared" si="2"/>
        <v>0.30682564007807939</v>
      </c>
      <c r="O31" s="3">
        <f t="shared" si="3"/>
        <v>1</v>
      </c>
      <c r="P31" s="1">
        <v>22.5</v>
      </c>
      <c r="Q31" s="1">
        <v>3</v>
      </c>
      <c r="S31" s="1" t="s">
        <v>65</v>
      </c>
      <c r="T31" s="1">
        <v>13</v>
      </c>
    </row>
    <row r="32" spans="1:23" x14ac:dyDescent="0.2">
      <c r="A32" s="1">
        <v>29</v>
      </c>
      <c r="B32" s="1" t="s">
        <v>196</v>
      </c>
      <c r="C32" s="1">
        <v>3</v>
      </c>
      <c r="D32" s="1">
        <v>2008</v>
      </c>
      <c r="E32" s="1" t="s">
        <v>197</v>
      </c>
      <c r="F32" s="1" t="s">
        <v>198</v>
      </c>
      <c r="G32" s="1" t="s">
        <v>79</v>
      </c>
      <c r="H32" s="1" t="s">
        <v>63</v>
      </c>
      <c r="I32" s="1">
        <v>2192</v>
      </c>
      <c r="J32" s="2">
        <f t="shared" si="0"/>
        <v>4.9549000297845378</v>
      </c>
      <c r="K32" s="1">
        <v>25</v>
      </c>
      <c r="L32" s="1">
        <v>9</v>
      </c>
      <c r="M32" s="2">
        <f t="shared" si="1"/>
        <v>2.7777777777777777</v>
      </c>
      <c r="N32" s="2">
        <f t="shared" si="2"/>
        <v>0.22128189205320373</v>
      </c>
      <c r="O32" s="3">
        <f t="shared" si="3"/>
        <v>-1</v>
      </c>
      <c r="P32" s="1">
        <v>97</v>
      </c>
      <c r="Q32" s="1">
        <v>2</v>
      </c>
      <c r="S32" s="1" t="s">
        <v>229</v>
      </c>
      <c r="T32" s="1">
        <v>3</v>
      </c>
    </row>
    <row r="33" spans="1:20" x14ac:dyDescent="0.2">
      <c r="A33" s="1">
        <v>30</v>
      </c>
      <c r="B33" s="1" t="s">
        <v>45</v>
      </c>
      <c r="C33" s="1">
        <v>3</v>
      </c>
      <c r="D33" s="1">
        <v>2020</v>
      </c>
      <c r="E33" s="1" t="s">
        <v>85</v>
      </c>
      <c r="F33" s="1" t="s">
        <v>84</v>
      </c>
      <c r="G33" s="1" t="s">
        <v>230</v>
      </c>
      <c r="H33" s="1" t="s">
        <v>60</v>
      </c>
      <c r="I33" s="1">
        <v>767</v>
      </c>
      <c r="J33" s="2">
        <f t="shared" si="0"/>
        <v>5.8507273321392015</v>
      </c>
      <c r="K33" s="1">
        <v>27</v>
      </c>
      <c r="L33" s="1">
        <v>17.97</v>
      </c>
      <c r="M33" s="2">
        <f t="shared" si="1"/>
        <v>1.5025041736227045</v>
      </c>
      <c r="N33" s="2">
        <f t="shared" si="2"/>
        <v>0.38016269025885924</v>
      </c>
      <c r="O33" s="3">
        <f t="shared" si="3"/>
        <v>1</v>
      </c>
      <c r="P33" s="1">
        <v>49.5</v>
      </c>
      <c r="Q33" s="1">
        <v>2</v>
      </c>
      <c r="S33" s="1" t="s">
        <v>79</v>
      </c>
      <c r="T33" s="1">
        <v>15</v>
      </c>
    </row>
    <row r="34" spans="1:20" x14ac:dyDescent="0.2">
      <c r="A34" s="1">
        <v>31</v>
      </c>
      <c r="B34" s="1" t="s">
        <v>30</v>
      </c>
      <c r="C34" s="1">
        <v>10</v>
      </c>
      <c r="D34" s="1">
        <v>2016</v>
      </c>
      <c r="E34" s="1" t="s">
        <v>177</v>
      </c>
      <c r="F34" s="1" t="s">
        <v>178</v>
      </c>
      <c r="G34" s="1" t="s">
        <v>188</v>
      </c>
      <c r="H34" s="1" t="s">
        <v>63</v>
      </c>
      <c r="I34" s="1">
        <v>2051</v>
      </c>
      <c r="J34" s="2">
        <f t="shared" si="0"/>
        <v>4.5317381958502798</v>
      </c>
      <c r="K34" s="1">
        <v>36</v>
      </c>
      <c r="L34" s="1">
        <v>23.47</v>
      </c>
      <c r="M34" s="2">
        <f t="shared" si="1"/>
        <v>1.5338730293992331</v>
      </c>
      <c r="N34" s="2">
        <f t="shared" si="2"/>
        <v>0.15928381457919588</v>
      </c>
      <c r="O34" s="3">
        <f t="shared" si="3"/>
        <v>1</v>
      </c>
      <c r="P34" s="1">
        <v>19</v>
      </c>
      <c r="Q34" s="1">
        <v>4</v>
      </c>
      <c r="S34" s="1" t="s">
        <v>231</v>
      </c>
      <c r="T34" s="1">
        <v>8</v>
      </c>
    </row>
    <row r="35" spans="1:20" x14ac:dyDescent="0.2">
      <c r="A35" s="1">
        <v>32</v>
      </c>
      <c r="B35" s="1" t="s">
        <v>274</v>
      </c>
      <c r="C35" s="1">
        <v>2</v>
      </c>
      <c r="D35" s="1">
        <v>2020</v>
      </c>
      <c r="E35" s="1" t="s">
        <v>208</v>
      </c>
      <c r="F35" s="1" t="s">
        <v>209</v>
      </c>
      <c r="G35" s="1" t="s">
        <v>79</v>
      </c>
      <c r="H35" s="1" t="s">
        <v>60</v>
      </c>
      <c r="I35" s="1">
        <v>166</v>
      </c>
      <c r="J35" s="2">
        <f t="shared" si="0"/>
        <v>4.7256934272366529</v>
      </c>
      <c r="K35" s="1">
        <v>16</v>
      </c>
      <c r="L35" s="1">
        <v>9</v>
      </c>
      <c r="M35" s="2">
        <f t="shared" si="1"/>
        <v>1.7777777777777777</v>
      </c>
      <c r="N35" s="2">
        <f t="shared" si="2"/>
        <v>0.1022974023030141</v>
      </c>
      <c r="O35" s="3">
        <f t="shared" si="3"/>
        <v>1</v>
      </c>
      <c r="P35" s="1">
        <v>41</v>
      </c>
      <c r="Q35" s="1">
        <v>2</v>
      </c>
      <c r="S35" s="1" t="s">
        <v>188</v>
      </c>
      <c r="T35" s="1">
        <v>46</v>
      </c>
    </row>
    <row r="36" spans="1:20" x14ac:dyDescent="0.2">
      <c r="A36" s="1">
        <v>33</v>
      </c>
      <c r="B36" s="1" t="s">
        <v>31</v>
      </c>
      <c r="C36" s="1">
        <v>1</v>
      </c>
      <c r="D36" s="1">
        <v>1968</v>
      </c>
      <c r="E36" s="1" t="s">
        <v>225</v>
      </c>
      <c r="F36" s="1" t="s">
        <v>226</v>
      </c>
      <c r="G36" s="1" t="s">
        <v>188</v>
      </c>
      <c r="H36" s="1" t="s">
        <v>63</v>
      </c>
      <c r="I36" s="1">
        <v>5993</v>
      </c>
      <c r="J36" s="2">
        <f t="shared" ref="J36:J67" si="4">LN(I36/((2022-D36)*C36))+1</f>
        <v>5.7093633538939113</v>
      </c>
      <c r="K36" s="1">
        <v>48</v>
      </c>
      <c r="L36" s="1">
        <v>17.97</v>
      </c>
      <c r="M36" s="2">
        <f t="shared" ref="M36:M67" si="5">K36/L36</f>
        <v>2.671118530884808</v>
      </c>
      <c r="N36" s="2">
        <f t="shared" ref="N36:N67" si="6">ABS((J36 - MEDIAN($J$4:$J$34))/MAX($J$4:$J$34) - (M36 - MEDIAN($M$4:$M$34))/MAX($M$4:$M$34))</f>
        <v>6.3001076653599525E-2</v>
      </c>
      <c r="O36" s="3">
        <f t="shared" ref="O36:O67" si="7">SIGN((J36 - MEDIAN($J$4:$J$34))/MAX($J$4:$J$34) - (M36 - MEDIAN($M$4:$M$34))/MAX($M$4:$M$34))</f>
        <v>-1</v>
      </c>
      <c r="P36" s="1">
        <v>85</v>
      </c>
      <c r="Q36" s="1">
        <v>4</v>
      </c>
      <c r="S36" s="1" t="s">
        <v>232</v>
      </c>
      <c r="T36" s="1">
        <v>2</v>
      </c>
    </row>
    <row r="37" spans="1:20" x14ac:dyDescent="0.2">
      <c r="A37" s="1">
        <v>34</v>
      </c>
      <c r="B37" s="1" t="s">
        <v>1</v>
      </c>
      <c r="C37" s="1">
        <v>1</v>
      </c>
      <c r="D37" s="1">
        <v>1994</v>
      </c>
      <c r="E37" s="1" t="s">
        <v>175</v>
      </c>
      <c r="F37" s="1" t="s">
        <v>176</v>
      </c>
      <c r="G37" s="1" t="s">
        <v>232</v>
      </c>
      <c r="H37" s="1" t="s">
        <v>63</v>
      </c>
      <c r="I37" s="1">
        <v>983</v>
      </c>
      <c r="J37" s="2">
        <f t="shared" si="4"/>
        <v>4.5584046099719622</v>
      </c>
      <c r="K37" s="1">
        <v>17</v>
      </c>
      <c r="L37" s="1">
        <v>9</v>
      </c>
      <c r="M37" s="2">
        <f t="shared" si="5"/>
        <v>1.8888888888888888</v>
      </c>
      <c r="N37" s="2">
        <f t="shared" si="6"/>
        <v>3.5715372364234776E-2</v>
      </c>
      <c r="O37" s="3">
        <f t="shared" si="7"/>
        <v>1</v>
      </c>
      <c r="P37" s="1">
        <v>60.5</v>
      </c>
      <c r="Q37" s="1">
        <v>7</v>
      </c>
      <c r="S37" s="1" t="s">
        <v>230</v>
      </c>
      <c r="T37" s="1">
        <v>13</v>
      </c>
    </row>
    <row r="38" spans="1:20" x14ac:dyDescent="0.2">
      <c r="A38" s="1">
        <v>35</v>
      </c>
      <c r="B38" s="1" t="s">
        <v>154</v>
      </c>
      <c r="C38" s="1">
        <v>1</v>
      </c>
      <c r="D38" s="1">
        <v>2009</v>
      </c>
      <c r="E38" s="1" t="s">
        <v>134</v>
      </c>
      <c r="F38" s="1" t="s">
        <v>135</v>
      </c>
      <c r="G38" s="1" t="s">
        <v>188</v>
      </c>
      <c r="H38" s="1" t="s">
        <v>63</v>
      </c>
      <c r="I38" s="1">
        <v>209</v>
      </c>
      <c r="J38" s="2">
        <f t="shared" si="4"/>
        <v>3.7773848945032742</v>
      </c>
      <c r="K38" s="1">
        <v>14</v>
      </c>
      <c r="L38" s="1">
        <v>9</v>
      </c>
      <c r="M38" s="2">
        <f t="shared" si="5"/>
        <v>1.5555555555555556</v>
      </c>
      <c r="N38" s="2">
        <f t="shared" si="6"/>
        <v>3.161210115444088E-2</v>
      </c>
      <c r="O38" s="3">
        <f t="shared" si="7"/>
        <v>1</v>
      </c>
      <c r="P38" s="1">
        <v>56.5</v>
      </c>
      <c r="Q38" s="1">
        <v>1</v>
      </c>
    </row>
    <row r="39" spans="1:20" x14ac:dyDescent="0.2">
      <c r="A39" s="1">
        <v>36</v>
      </c>
      <c r="B39" s="1" t="s">
        <v>275</v>
      </c>
      <c r="C39" s="1">
        <v>2</v>
      </c>
      <c r="D39" s="1">
        <v>1990</v>
      </c>
      <c r="E39" s="1" t="s">
        <v>223</v>
      </c>
      <c r="F39" s="1" t="s">
        <v>224</v>
      </c>
      <c r="G39" s="1" t="s">
        <v>188</v>
      </c>
      <c r="H39" s="1" t="s">
        <v>63</v>
      </c>
      <c r="I39" s="1">
        <v>3698</v>
      </c>
      <c r="J39" s="2">
        <f t="shared" si="4"/>
        <v>5.0566643285873987</v>
      </c>
      <c r="K39" s="1">
        <v>23</v>
      </c>
      <c r="L39" s="1">
        <v>9</v>
      </c>
      <c r="M39" s="2">
        <f t="shared" si="5"/>
        <v>2.5555555555555554</v>
      </c>
      <c r="N39" s="2">
        <f t="shared" si="6"/>
        <v>0.12511164420455989</v>
      </c>
      <c r="O39" s="3">
        <f t="shared" si="7"/>
        <v>-1</v>
      </c>
      <c r="P39" s="1">
        <v>88.5</v>
      </c>
      <c r="Q39" s="1">
        <v>2</v>
      </c>
    </row>
    <row r="40" spans="1:20" x14ac:dyDescent="0.2">
      <c r="A40" s="1">
        <v>37</v>
      </c>
      <c r="B40" s="1" t="s">
        <v>276</v>
      </c>
      <c r="C40" s="1">
        <v>2</v>
      </c>
      <c r="D40" s="1">
        <v>2021</v>
      </c>
      <c r="E40" s="1" t="s">
        <v>210</v>
      </c>
      <c r="G40" s="1" t="s">
        <v>65</v>
      </c>
      <c r="H40" s="1" t="s">
        <v>63</v>
      </c>
      <c r="I40" s="1">
        <v>237</v>
      </c>
      <c r="J40" s="2">
        <f t="shared" si="4"/>
        <v>5.7749129605751861</v>
      </c>
      <c r="K40" s="1">
        <v>16</v>
      </c>
      <c r="L40" s="1">
        <v>15.79</v>
      </c>
      <c r="M40" s="2">
        <f t="shared" si="5"/>
        <v>1.013299556681444</v>
      </c>
      <c r="N40" s="2">
        <f t="shared" si="6"/>
        <v>0.54422952264335311</v>
      </c>
      <c r="O40" s="3">
        <f t="shared" si="7"/>
        <v>1</v>
      </c>
      <c r="P40" s="1">
        <v>81.5</v>
      </c>
      <c r="Q40" s="1">
        <v>7</v>
      </c>
    </row>
    <row r="41" spans="1:20" x14ac:dyDescent="0.2">
      <c r="A41" s="1">
        <v>38</v>
      </c>
      <c r="B41" s="1" t="s">
        <v>277</v>
      </c>
      <c r="C41" s="1">
        <v>2</v>
      </c>
      <c r="D41" s="1">
        <v>2016</v>
      </c>
      <c r="E41" s="1" t="s">
        <v>150</v>
      </c>
      <c r="F41" s="1" t="s">
        <v>151</v>
      </c>
      <c r="G41" s="1" t="s">
        <v>231</v>
      </c>
      <c r="H41" s="1" t="s">
        <v>63</v>
      </c>
      <c r="I41" s="1">
        <v>391</v>
      </c>
      <c r="J41" s="2">
        <f t="shared" si="4"/>
        <v>4.483800910197365</v>
      </c>
      <c r="K41" s="1">
        <v>19</v>
      </c>
      <c r="L41" s="1">
        <v>9</v>
      </c>
      <c r="M41" s="2">
        <f t="shared" si="5"/>
        <v>2.1111111111111112</v>
      </c>
      <c r="N41" s="2">
        <f t="shared" si="6"/>
        <v>5.613908278332172E-2</v>
      </c>
      <c r="O41" s="3">
        <f t="shared" si="7"/>
        <v>-1</v>
      </c>
      <c r="P41" s="1">
        <v>73</v>
      </c>
      <c r="Q41" s="1">
        <v>1</v>
      </c>
    </row>
    <row r="42" spans="1:20" x14ac:dyDescent="0.2">
      <c r="A42" s="1">
        <v>39</v>
      </c>
      <c r="B42" s="1" t="s">
        <v>211</v>
      </c>
      <c r="C42" s="1">
        <v>1</v>
      </c>
      <c r="D42" s="1">
        <v>1993</v>
      </c>
      <c r="E42" s="1" t="s">
        <v>212</v>
      </c>
      <c r="F42" s="1" t="s">
        <v>213</v>
      </c>
      <c r="G42" s="1" t="s">
        <v>79</v>
      </c>
      <c r="H42" s="1" t="s">
        <v>63</v>
      </c>
      <c r="I42" s="1">
        <v>478</v>
      </c>
      <c r="J42" s="2">
        <f t="shared" si="4"/>
        <v>3.8023149025049818</v>
      </c>
      <c r="K42" s="1">
        <v>17</v>
      </c>
      <c r="L42" s="1">
        <v>9</v>
      </c>
      <c r="M42" s="2">
        <f t="shared" si="5"/>
        <v>1.8888888888888888</v>
      </c>
      <c r="N42" s="2">
        <f t="shared" si="6"/>
        <v>8.4426544883525481E-2</v>
      </c>
      <c r="O42" s="3">
        <f t="shared" si="7"/>
        <v>-1</v>
      </c>
      <c r="P42" s="1">
        <v>73</v>
      </c>
      <c r="Q42" s="1">
        <v>4</v>
      </c>
    </row>
    <row r="43" spans="1:20" x14ac:dyDescent="0.2">
      <c r="A43" s="1">
        <v>40</v>
      </c>
      <c r="B43" s="1" t="s">
        <v>278</v>
      </c>
      <c r="C43" s="1">
        <v>2</v>
      </c>
      <c r="D43" s="1">
        <v>2008</v>
      </c>
      <c r="E43" s="1" t="s">
        <v>227</v>
      </c>
      <c r="F43" s="1" t="s">
        <v>228</v>
      </c>
      <c r="G43" s="1" t="s">
        <v>229</v>
      </c>
      <c r="H43" s="1" t="s">
        <v>60</v>
      </c>
      <c r="I43" s="1">
        <v>423</v>
      </c>
      <c r="J43" s="2">
        <f t="shared" si="4"/>
        <v>3.7151676688710742</v>
      </c>
      <c r="K43" s="1">
        <v>26</v>
      </c>
      <c r="L43" s="1">
        <v>17.97</v>
      </c>
      <c r="M43" s="2">
        <f t="shared" si="5"/>
        <v>1.4468558708959378</v>
      </c>
      <c r="N43" s="2">
        <f t="shared" si="6"/>
        <v>6.08577311474299E-2</v>
      </c>
      <c r="O43" s="3">
        <f t="shared" si="7"/>
        <v>1</v>
      </c>
      <c r="P43" s="1">
        <v>41</v>
      </c>
      <c r="Q43" s="1">
        <v>2</v>
      </c>
    </row>
    <row r="44" spans="1:20" x14ac:dyDescent="0.2">
      <c r="A44" s="1">
        <v>41</v>
      </c>
      <c r="B44" s="1" t="s">
        <v>214</v>
      </c>
      <c r="C44" s="1">
        <v>4</v>
      </c>
      <c r="D44" s="1">
        <v>2013</v>
      </c>
      <c r="E44" s="1" t="s">
        <v>215</v>
      </c>
      <c r="F44" s="1" t="s">
        <v>216</v>
      </c>
      <c r="G44" s="1" t="s">
        <v>188</v>
      </c>
      <c r="H44" s="1" t="s">
        <v>63</v>
      </c>
      <c r="I44" s="1">
        <v>875</v>
      </c>
      <c r="J44" s="2">
        <f t="shared" si="4"/>
        <v>4.1907049479015051</v>
      </c>
      <c r="K44" s="1">
        <v>29</v>
      </c>
      <c r="L44" s="1">
        <v>17.97</v>
      </c>
      <c r="M44" s="2">
        <f t="shared" si="5"/>
        <v>1.6138007790762383</v>
      </c>
      <c r="N44" s="2">
        <f t="shared" si="6"/>
        <v>7.631997414049084E-2</v>
      </c>
      <c r="O44" s="3">
        <f t="shared" si="7"/>
        <v>1</v>
      </c>
      <c r="P44" s="1">
        <v>41</v>
      </c>
      <c r="Q44" s="1">
        <v>1</v>
      </c>
    </row>
    <row r="45" spans="1:20" x14ac:dyDescent="0.2">
      <c r="A45" s="1">
        <v>42</v>
      </c>
      <c r="B45" s="1" t="s">
        <v>46</v>
      </c>
      <c r="C45" s="1">
        <v>1</v>
      </c>
      <c r="D45" s="1">
        <v>2006</v>
      </c>
      <c r="E45" s="1" t="s">
        <v>86</v>
      </c>
      <c r="F45" s="1" t="s">
        <v>87</v>
      </c>
      <c r="G45" s="1" t="s">
        <v>230</v>
      </c>
      <c r="H45" s="1" t="s">
        <v>60</v>
      </c>
      <c r="I45" s="1">
        <v>2273</v>
      </c>
      <c r="J45" s="2">
        <f t="shared" si="4"/>
        <v>5.9562671016127622</v>
      </c>
      <c r="K45" s="1">
        <v>37</v>
      </c>
      <c r="L45" s="1">
        <v>17.97</v>
      </c>
      <c r="M45" s="2">
        <f t="shared" si="5"/>
        <v>2.0589872008903729</v>
      </c>
      <c r="N45" s="2">
        <f t="shared" si="6"/>
        <v>0.19659896689922685</v>
      </c>
      <c r="O45" s="3">
        <f t="shared" si="7"/>
        <v>1</v>
      </c>
      <c r="P45" s="1">
        <v>26</v>
      </c>
      <c r="Q45" s="1">
        <v>2</v>
      </c>
    </row>
    <row r="46" spans="1:20" x14ac:dyDescent="0.2">
      <c r="A46" s="1">
        <v>43</v>
      </c>
      <c r="B46" s="1" t="s">
        <v>279</v>
      </c>
      <c r="C46" s="1">
        <v>2</v>
      </c>
      <c r="D46" s="1">
        <v>1991</v>
      </c>
      <c r="E46" s="1" t="s">
        <v>219</v>
      </c>
      <c r="F46" s="1" t="s">
        <v>220</v>
      </c>
      <c r="G46" s="1" t="s">
        <v>188</v>
      </c>
      <c r="H46" s="1" t="s">
        <v>63</v>
      </c>
      <c r="I46" s="1">
        <v>2821</v>
      </c>
      <c r="J46" s="2">
        <f t="shared" si="4"/>
        <v>4.8177123259569044</v>
      </c>
      <c r="K46" s="1">
        <v>37</v>
      </c>
      <c r="L46" s="1">
        <v>17.97</v>
      </c>
      <c r="M46" s="2">
        <f t="shared" si="5"/>
        <v>2.0589872008903729</v>
      </c>
      <c r="N46" s="2">
        <f t="shared" si="6"/>
        <v>1.5683723260809673E-2</v>
      </c>
      <c r="O46" s="3">
        <f t="shared" si="7"/>
        <v>1</v>
      </c>
      <c r="P46" s="1">
        <v>65</v>
      </c>
      <c r="Q46" s="1">
        <v>4</v>
      </c>
    </row>
    <row r="47" spans="1:20" x14ac:dyDescent="0.2">
      <c r="A47" s="1">
        <v>44</v>
      </c>
      <c r="B47" s="1" t="s">
        <v>280</v>
      </c>
      <c r="C47" s="1">
        <v>2</v>
      </c>
      <c r="D47" s="1">
        <v>1980</v>
      </c>
      <c r="E47" s="1" t="s">
        <v>217</v>
      </c>
      <c r="F47" s="1" t="s">
        <v>218</v>
      </c>
      <c r="G47" s="1" t="s">
        <v>188</v>
      </c>
      <c r="H47" s="1" t="s">
        <v>63</v>
      </c>
      <c r="I47" s="1">
        <v>3241</v>
      </c>
      <c r="J47" s="2">
        <f t="shared" si="4"/>
        <v>4.6528204042982342</v>
      </c>
      <c r="K47" s="1">
        <v>37</v>
      </c>
      <c r="L47" s="1">
        <v>17.97</v>
      </c>
      <c r="M47" s="2">
        <f t="shared" si="5"/>
        <v>2.0589872008903729</v>
      </c>
      <c r="N47" s="2">
        <f t="shared" si="6"/>
        <v>1.0517442303403849E-2</v>
      </c>
      <c r="O47" s="3">
        <f t="shared" si="7"/>
        <v>-1</v>
      </c>
      <c r="P47" s="1">
        <v>67.5</v>
      </c>
      <c r="Q47" s="1">
        <v>2</v>
      </c>
    </row>
    <row r="48" spans="1:20" x14ac:dyDescent="0.2">
      <c r="A48" s="1">
        <v>45</v>
      </c>
      <c r="B48" s="1" t="s">
        <v>17</v>
      </c>
      <c r="C48" s="1">
        <v>3</v>
      </c>
      <c r="D48" s="1">
        <v>2019</v>
      </c>
      <c r="E48" s="1" t="s">
        <v>88</v>
      </c>
      <c r="F48" s="1" t="s">
        <v>89</v>
      </c>
      <c r="G48" s="1" t="s">
        <v>188</v>
      </c>
      <c r="H48" s="1" t="s">
        <v>63</v>
      </c>
      <c r="I48" s="1">
        <v>483</v>
      </c>
      <c r="J48" s="2">
        <f t="shared" si="4"/>
        <v>4.9827920763163531</v>
      </c>
      <c r="K48" s="1">
        <v>24</v>
      </c>
      <c r="L48" s="1">
        <v>15.79</v>
      </c>
      <c r="M48" s="2">
        <f t="shared" si="5"/>
        <v>1.519949335022166</v>
      </c>
      <c r="N48" s="2">
        <f t="shared" si="6"/>
        <v>0.23596836633497822</v>
      </c>
      <c r="O48" s="3">
        <f t="shared" si="7"/>
        <v>1</v>
      </c>
      <c r="P48" s="1">
        <v>6</v>
      </c>
      <c r="Q48" s="1">
        <v>6</v>
      </c>
    </row>
    <row r="49" spans="1:17" x14ac:dyDescent="0.2">
      <c r="A49" s="1">
        <v>46</v>
      </c>
      <c r="B49" s="1" t="s">
        <v>18</v>
      </c>
      <c r="C49" s="1">
        <v>7</v>
      </c>
      <c r="D49" s="1">
        <v>2021</v>
      </c>
      <c r="E49" s="1" t="s">
        <v>174</v>
      </c>
      <c r="G49" s="1" t="s">
        <v>65</v>
      </c>
      <c r="H49" s="1" t="s">
        <v>63</v>
      </c>
      <c r="I49" s="1">
        <v>736</v>
      </c>
      <c r="J49" s="2">
        <f t="shared" si="4"/>
        <v>5.6553199696735632</v>
      </c>
      <c r="K49" s="1">
        <v>33</v>
      </c>
      <c r="L49" s="1">
        <v>15.79</v>
      </c>
      <c r="M49" s="2">
        <f t="shared" si="5"/>
        <v>2.0899303356554784</v>
      </c>
      <c r="N49" s="2">
        <f t="shared" si="6"/>
        <v>0.13763923257445504</v>
      </c>
      <c r="O49" s="3">
        <f t="shared" si="7"/>
        <v>1</v>
      </c>
      <c r="P49" s="1">
        <v>41</v>
      </c>
      <c r="Q49" s="1">
        <v>6</v>
      </c>
    </row>
    <row r="50" spans="1:17" x14ac:dyDescent="0.2">
      <c r="A50" s="1">
        <v>47</v>
      </c>
      <c r="B50" s="1" t="s">
        <v>233</v>
      </c>
      <c r="C50" s="1">
        <v>1</v>
      </c>
      <c r="D50" s="1">
        <v>1971</v>
      </c>
      <c r="E50" s="1" t="s">
        <v>234</v>
      </c>
      <c r="F50" s="1" t="s">
        <v>235</v>
      </c>
      <c r="G50" s="1" t="s">
        <v>188</v>
      </c>
      <c r="H50" s="1" t="s">
        <v>63</v>
      </c>
      <c r="I50" s="1">
        <v>5145</v>
      </c>
      <c r="J50" s="2">
        <f t="shared" si="4"/>
        <v>5.6139550155438238</v>
      </c>
      <c r="K50" s="1">
        <v>49</v>
      </c>
      <c r="L50" s="1">
        <v>17.97</v>
      </c>
      <c r="M50" s="2">
        <f t="shared" si="5"/>
        <v>2.7267668336115749</v>
      </c>
      <c r="N50" s="2">
        <f t="shared" si="6"/>
        <v>9.8194757565678414E-2</v>
      </c>
      <c r="O50" s="3">
        <f t="shared" si="7"/>
        <v>-1</v>
      </c>
      <c r="P50" s="1">
        <v>88.5</v>
      </c>
      <c r="Q50" s="1">
        <v>4</v>
      </c>
    </row>
    <row r="51" spans="1:17" x14ac:dyDescent="0.2">
      <c r="A51" s="1">
        <v>48</v>
      </c>
      <c r="B51" s="1" t="s">
        <v>281</v>
      </c>
      <c r="C51" s="1">
        <v>2</v>
      </c>
      <c r="D51" s="1">
        <v>1995</v>
      </c>
      <c r="E51" s="1" t="s">
        <v>236</v>
      </c>
      <c r="F51" s="1" t="s">
        <v>237</v>
      </c>
      <c r="G51" s="1" t="s">
        <v>231</v>
      </c>
      <c r="H51" s="1" t="s">
        <v>63</v>
      </c>
      <c r="I51" s="1">
        <v>1763</v>
      </c>
      <c r="J51" s="2">
        <f t="shared" si="4"/>
        <v>4.4857881358335963</v>
      </c>
      <c r="K51" s="1">
        <v>28</v>
      </c>
      <c r="L51" s="1">
        <v>9</v>
      </c>
      <c r="M51" s="2">
        <f t="shared" si="5"/>
        <v>3.1111111111111112</v>
      </c>
      <c r="N51" s="2">
        <f t="shared" si="6"/>
        <v>0.41582331456748323</v>
      </c>
      <c r="O51" s="3">
        <f t="shared" si="7"/>
        <v>-1</v>
      </c>
      <c r="P51" s="1">
        <v>100</v>
      </c>
      <c r="Q51" s="1">
        <v>4</v>
      </c>
    </row>
    <row r="52" spans="1:17" x14ac:dyDescent="0.2">
      <c r="A52" s="1">
        <v>49</v>
      </c>
      <c r="B52" s="1" t="s">
        <v>47</v>
      </c>
      <c r="C52" s="1">
        <v>4</v>
      </c>
      <c r="D52" s="1">
        <v>2021</v>
      </c>
      <c r="E52" s="1" t="s">
        <v>238</v>
      </c>
      <c r="F52" s="1" t="s">
        <v>239</v>
      </c>
      <c r="G52" s="1" t="s">
        <v>230</v>
      </c>
      <c r="H52" s="1" t="s">
        <v>63</v>
      </c>
      <c r="I52" s="1">
        <v>549</v>
      </c>
      <c r="J52" s="2">
        <f t="shared" si="4"/>
        <v>5.9218040803896397</v>
      </c>
      <c r="K52" s="1">
        <v>27</v>
      </c>
      <c r="L52" s="1">
        <v>12.18</v>
      </c>
      <c r="M52" s="2">
        <f t="shared" si="5"/>
        <v>2.2167487684729066</v>
      </c>
      <c r="N52" s="2">
        <f t="shared" si="6"/>
        <v>0.13432866210231098</v>
      </c>
      <c r="O52" s="3">
        <f t="shared" si="7"/>
        <v>1</v>
      </c>
      <c r="P52" s="1">
        <v>49.5</v>
      </c>
      <c r="Q52" s="1">
        <v>2</v>
      </c>
    </row>
    <row r="53" spans="1:17" x14ac:dyDescent="0.2">
      <c r="A53" s="1">
        <v>50</v>
      </c>
      <c r="B53" s="1" t="s">
        <v>19</v>
      </c>
      <c r="C53" s="1">
        <v>4</v>
      </c>
      <c r="D53" s="1">
        <v>2017</v>
      </c>
      <c r="E53" s="1" t="s">
        <v>126</v>
      </c>
      <c r="G53" s="1" t="s">
        <v>65</v>
      </c>
      <c r="H53" s="1" t="s">
        <v>63</v>
      </c>
      <c r="I53" s="1">
        <v>725</v>
      </c>
      <c r="J53" s="2">
        <f t="shared" si="4"/>
        <v>4.5904393813006834</v>
      </c>
      <c r="K53" s="1">
        <v>32</v>
      </c>
      <c r="L53" s="1">
        <v>15.79</v>
      </c>
      <c r="M53" s="2">
        <f t="shared" si="5"/>
        <v>2.026599113362888</v>
      </c>
      <c r="N53" s="2">
        <f t="shared" si="6"/>
        <v>8.7700145196168439E-3</v>
      </c>
      <c r="O53" s="3">
        <f t="shared" si="7"/>
        <v>-1</v>
      </c>
      <c r="P53" s="1">
        <v>67.5</v>
      </c>
      <c r="Q53" s="1">
        <v>6</v>
      </c>
    </row>
    <row r="54" spans="1:17" x14ac:dyDescent="0.2">
      <c r="A54" s="1">
        <v>51</v>
      </c>
      <c r="B54" s="1" t="s">
        <v>282</v>
      </c>
      <c r="C54" s="1">
        <v>2</v>
      </c>
      <c r="D54" s="1">
        <v>2017</v>
      </c>
      <c r="E54" s="1" t="s">
        <v>91</v>
      </c>
      <c r="F54" s="1" t="s">
        <v>90</v>
      </c>
      <c r="G54" s="1" t="s">
        <v>188</v>
      </c>
      <c r="H54" s="1" t="s">
        <v>60</v>
      </c>
      <c r="I54" s="1">
        <v>619</v>
      </c>
      <c r="J54" s="2">
        <f t="shared" si="4"/>
        <v>5.1255201796905503</v>
      </c>
      <c r="K54" s="1">
        <v>30</v>
      </c>
      <c r="L54" s="1">
        <v>17.97</v>
      </c>
      <c r="M54" s="2">
        <f t="shared" si="5"/>
        <v>1.6694490818030052</v>
      </c>
      <c r="N54" s="2">
        <f t="shared" si="6"/>
        <v>0.20482781394479227</v>
      </c>
      <c r="O54" s="3">
        <f t="shared" si="7"/>
        <v>1</v>
      </c>
      <c r="P54" s="1">
        <v>9</v>
      </c>
      <c r="Q54" s="1">
        <v>2</v>
      </c>
    </row>
    <row r="55" spans="1:17" x14ac:dyDescent="0.2">
      <c r="A55" s="1">
        <v>52</v>
      </c>
      <c r="B55" s="1" t="s">
        <v>48</v>
      </c>
      <c r="C55" s="1">
        <v>1</v>
      </c>
      <c r="D55" s="1">
        <v>1995</v>
      </c>
      <c r="E55" s="1" t="s">
        <v>241</v>
      </c>
      <c r="F55" s="1" t="s">
        <v>242</v>
      </c>
      <c r="G55" s="1" t="s">
        <v>231</v>
      </c>
      <c r="H55" s="1" t="s">
        <v>63</v>
      </c>
      <c r="I55" s="1">
        <v>1052</v>
      </c>
      <c r="J55" s="2">
        <f t="shared" si="4"/>
        <v>4.6626115272933255</v>
      </c>
      <c r="K55" s="1">
        <v>27</v>
      </c>
      <c r="L55" s="1">
        <v>9</v>
      </c>
      <c r="M55" s="2">
        <f t="shared" si="5"/>
        <v>3</v>
      </c>
      <c r="N55" s="2">
        <f t="shared" si="6"/>
        <v>0.347726250086347</v>
      </c>
      <c r="O55" s="3">
        <f t="shared" si="7"/>
        <v>-1</v>
      </c>
      <c r="P55" s="1">
        <v>99</v>
      </c>
      <c r="Q55" s="1">
        <v>2</v>
      </c>
    </row>
    <row r="56" spans="1:17" x14ac:dyDescent="0.2">
      <c r="A56" s="1">
        <v>53</v>
      </c>
      <c r="B56" s="1" t="s">
        <v>283</v>
      </c>
      <c r="C56" s="1">
        <v>2</v>
      </c>
      <c r="D56" s="1">
        <v>2013</v>
      </c>
      <c r="E56" s="1" t="s">
        <v>172</v>
      </c>
      <c r="F56" s="1" t="s">
        <v>173</v>
      </c>
      <c r="G56" s="1" t="s">
        <v>188</v>
      </c>
      <c r="H56" s="1" t="s">
        <v>63</v>
      </c>
      <c r="I56" s="1">
        <v>907</v>
      </c>
      <c r="J56" s="2">
        <f t="shared" si="4"/>
        <v>4.9197706922189717</v>
      </c>
      <c r="K56" s="1">
        <v>41</v>
      </c>
      <c r="L56" s="1">
        <v>17.97</v>
      </c>
      <c r="M56" s="2">
        <f t="shared" si="5"/>
        <v>2.2815804117974405</v>
      </c>
      <c r="N56" s="2">
        <f t="shared" si="6"/>
        <v>4.8232857784570357E-2</v>
      </c>
      <c r="O56" s="3">
        <f t="shared" si="7"/>
        <v>-1</v>
      </c>
      <c r="P56" s="1">
        <v>75</v>
      </c>
      <c r="Q56" s="1">
        <v>5</v>
      </c>
    </row>
    <row r="57" spans="1:17" x14ac:dyDescent="0.2">
      <c r="A57" s="1">
        <v>54</v>
      </c>
      <c r="B57" s="1" t="s">
        <v>243</v>
      </c>
      <c r="C57" s="1">
        <v>2</v>
      </c>
      <c r="D57" s="1">
        <v>2019</v>
      </c>
      <c r="E57" s="1" t="s">
        <v>244</v>
      </c>
      <c r="F57" s="1" t="s">
        <v>246</v>
      </c>
      <c r="G57" s="1" t="s">
        <v>188</v>
      </c>
      <c r="H57" s="1" t="s">
        <v>245</v>
      </c>
      <c r="I57" s="1">
        <v>658</v>
      </c>
      <c r="J57" s="2">
        <f t="shared" si="4"/>
        <v>5.6974454620972619</v>
      </c>
      <c r="K57" s="1">
        <v>36</v>
      </c>
      <c r="L57" s="1">
        <v>23.47</v>
      </c>
      <c r="M57" s="2">
        <f t="shared" si="5"/>
        <v>1.5338730293992331</v>
      </c>
      <c r="N57" s="2">
        <f t="shared" si="6"/>
        <v>0.34451356249594556</v>
      </c>
      <c r="O57" s="3">
        <f t="shared" si="7"/>
        <v>1</v>
      </c>
      <c r="P57" s="1">
        <v>33</v>
      </c>
      <c r="Q57" s="1">
        <v>5</v>
      </c>
    </row>
    <row r="58" spans="1:17" x14ac:dyDescent="0.2">
      <c r="A58" s="1">
        <v>55</v>
      </c>
      <c r="B58" s="1" t="s">
        <v>284</v>
      </c>
      <c r="C58" s="1">
        <v>2</v>
      </c>
      <c r="D58" s="1">
        <v>2020</v>
      </c>
      <c r="E58" s="1" t="s">
        <v>92</v>
      </c>
      <c r="F58" s="1" t="s">
        <v>93</v>
      </c>
      <c r="G58" s="1" t="s">
        <v>230</v>
      </c>
      <c r="H58" s="1" t="s">
        <v>60</v>
      </c>
      <c r="I58" s="1">
        <v>309</v>
      </c>
      <c r="J58" s="2">
        <f t="shared" si="4"/>
        <v>5.3470469157778551</v>
      </c>
      <c r="K58" s="1">
        <v>16</v>
      </c>
      <c r="L58" s="1">
        <v>9</v>
      </c>
      <c r="M58" s="2">
        <f t="shared" si="5"/>
        <v>1.7777777777777777</v>
      </c>
      <c r="N58" s="2">
        <f t="shared" si="6"/>
        <v>0.20102986574576553</v>
      </c>
      <c r="O58" s="3">
        <f t="shared" si="7"/>
        <v>1</v>
      </c>
      <c r="P58" s="1">
        <v>15</v>
      </c>
      <c r="Q58" s="1">
        <v>1</v>
      </c>
    </row>
    <row r="59" spans="1:17" x14ac:dyDescent="0.2">
      <c r="A59" s="1">
        <v>56</v>
      </c>
      <c r="B59" s="1" t="s">
        <v>264</v>
      </c>
      <c r="C59" s="1">
        <v>1</v>
      </c>
      <c r="D59" s="1">
        <v>2004</v>
      </c>
      <c r="E59" s="1" t="s">
        <v>265</v>
      </c>
      <c r="F59" s="1" t="s">
        <v>266</v>
      </c>
      <c r="G59" s="1" t="s">
        <v>230</v>
      </c>
      <c r="H59" s="1" t="s">
        <v>63</v>
      </c>
      <c r="I59" s="1">
        <v>1181</v>
      </c>
      <c r="J59" s="2">
        <f t="shared" si="4"/>
        <v>5.1837450583011977</v>
      </c>
      <c r="K59" s="1">
        <v>43</v>
      </c>
      <c r="L59" s="1">
        <v>17.97</v>
      </c>
      <c r="M59" s="2">
        <f t="shared" si="5"/>
        <v>2.3928770172509739</v>
      </c>
      <c r="N59" s="2">
        <f t="shared" si="6"/>
        <v>4.6354366380760306E-2</v>
      </c>
      <c r="O59" s="3">
        <f t="shared" si="7"/>
        <v>-1</v>
      </c>
      <c r="P59" s="1">
        <v>77.5</v>
      </c>
      <c r="Q59" s="1">
        <v>1</v>
      </c>
    </row>
    <row r="60" spans="1:17" x14ac:dyDescent="0.2">
      <c r="A60" s="1">
        <v>57</v>
      </c>
      <c r="B60" s="1" t="s">
        <v>10</v>
      </c>
      <c r="C60" s="1">
        <v>5</v>
      </c>
      <c r="D60" s="1">
        <v>2017</v>
      </c>
      <c r="E60" s="1" t="s">
        <v>170</v>
      </c>
      <c r="F60" s="1" t="s">
        <v>171</v>
      </c>
      <c r="G60" s="1" t="s">
        <v>188</v>
      </c>
      <c r="H60" s="1" t="s">
        <v>63</v>
      </c>
      <c r="I60" s="1">
        <v>1217</v>
      </c>
      <c r="J60" s="2">
        <f t="shared" si="4"/>
        <v>4.8852682681193258</v>
      </c>
      <c r="K60" s="1">
        <v>25</v>
      </c>
      <c r="L60" s="1">
        <v>15.79</v>
      </c>
      <c r="M60" s="2">
        <f t="shared" si="5"/>
        <v>1.5832805573147564</v>
      </c>
      <c r="N60" s="2">
        <f t="shared" si="6"/>
        <v>0.19767268828333467</v>
      </c>
      <c r="O60" s="3">
        <f t="shared" si="7"/>
        <v>1</v>
      </c>
      <c r="P60" s="1">
        <v>9</v>
      </c>
      <c r="Q60" s="1">
        <v>5</v>
      </c>
    </row>
    <row r="61" spans="1:17" x14ac:dyDescent="0.2">
      <c r="A61" s="1">
        <v>58</v>
      </c>
      <c r="B61" s="1" t="s">
        <v>3</v>
      </c>
      <c r="C61" s="1">
        <v>3</v>
      </c>
      <c r="D61" s="1">
        <v>2018</v>
      </c>
      <c r="E61" s="1" t="s">
        <v>124</v>
      </c>
      <c r="G61" s="1" t="s">
        <v>65</v>
      </c>
      <c r="H61" s="1" t="s">
        <v>63</v>
      </c>
      <c r="I61" s="1">
        <v>604</v>
      </c>
      <c r="J61" s="2">
        <f t="shared" si="4"/>
        <v>4.9186675481468143</v>
      </c>
      <c r="K61" s="1">
        <v>24</v>
      </c>
      <c r="L61" s="1">
        <v>15.79</v>
      </c>
      <c r="M61" s="2">
        <f t="shared" si="5"/>
        <v>1.519949335022166</v>
      </c>
      <c r="N61" s="2">
        <f t="shared" si="6"/>
        <v>0.22577904133714671</v>
      </c>
      <c r="O61" s="3">
        <f t="shared" si="7"/>
        <v>1</v>
      </c>
      <c r="P61" s="1">
        <v>4</v>
      </c>
      <c r="Q61" s="1">
        <v>7</v>
      </c>
    </row>
    <row r="62" spans="1:17" x14ac:dyDescent="0.2">
      <c r="A62" s="1">
        <v>59</v>
      </c>
      <c r="B62" s="1" t="s">
        <v>32</v>
      </c>
      <c r="C62" s="1">
        <v>1</v>
      </c>
      <c r="D62" s="1">
        <v>2020</v>
      </c>
      <c r="E62" s="1" t="s">
        <v>94</v>
      </c>
      <c r="F62" s="1" t="s">
        <v>95</v>
      </c>
      <c r="G62" s="1" t="s">
        <v>230</v>
      </c>
      <c r="H62" s="1" t="s">
        <v>63</v>
      </c>
      <c r="I62" s="1">
        <v>409</v>
      </c>
      <c r="J62" s="2">
        <f t="shared" si="4"/>
        <v>6.3205679754828568</v>
      </c>
      <c r="K62" s="1">
        <v>22</v>
      </c>
      <c r="L62" s="1">
        <v>12.18</v>
      </c>
      <c r="M62" s="2">
        <f t="shared" si="5"/>
        <v>1.80623973727422</v>
      </c>
      <c r="N62" s="2">
        <f t="shared" si="6"/>
        <v>0.34547510742648624</v>
      </c>
      <c r="O62" s="3">
        <f t="shared" si="7"/>
        <v>1</v>
      </c>
      <c r="P62" s="1">
        <v>26</v>
      </c>
      <c r="Q62" s="1">
        <v>4</v>
      </c>
    </row>
    <row r="63" spans="1:17" x14ac:dyDescent="0.2">
      <c r="A63" s="1">
        <v>60</v>
      </c>
      <c r="B63" s="1" t="s">
        <v>11</v>
      </c>
      <c r="C63" s="1">
        <v>6</v>
      </c>
      <c r="D63" s="1">
        <v>2020</v>
      </c>
      <c r="E63" s="1" t="s">
        <v>96</v>
      </c>
      <c r="F63" s="1" t="s">
        <v>97</v>
      </c>
      <c r="G63" s="1" t="s">
        <v>65</v>
      </c>
      <c r="H63" s="1" t="s">
        <v>63</v>
      </c>
      <c r="I63" s="1">
        <v>1057</v>
      </c>
      <c r="J63" s="2">
        <f t="shared" si="4"/>
        <v>5.4782833360822369</v>
      </c>
      <c r="K63" s="1">
        <v>31</v>
      </c>
      <c r="L63" s="1">
        <v>15.79</v>
      </c>
      <c r="M63" s="2">
        <f t="shared" si="5"/>
        <v>1.9632678910702979</v>
      </c>
      <c r="N63" s="2">
        <f t="shared" si="6"/>
        <v>0.15510676417720709</v>
      </c>
      <c r="O63" s="3">
        <f t="shared" si="7"/>
        <v>1</v>
      </c>
      <c r="P63" s="1">
        <v>29.5</v>
      </c>
      <c r="Q63" s="1">
        <v>5</v>
      </c>
    </row>
    <row r="64" spans="1:17" x14ac:dyDescent="0.2">
      <c r="A64" s="1">
        <v>61</v>
      </c>
      <c r="B64" s="1" t="s">
        <v>12</v>
      </c>
      <c r="C64" s="1">
        <v>5</v>
      </c>
      <c r="D64" s="1">
        <v>2018</v>
      </c>
      <c r="E64" s="1" t="s">
        <v>98</v>
      </c>
      <c r="F64" s="1" t="s">
        <v>99</v>
      </c>
      <c r="G64" s="1" t="s">
        <v>188</v>
      </c>
      <c r="H64" s="1" t="s">
        <v>63</v>
      </c>
      <c r="I64" s="1">
        <v>1022</v>
      </c>
      <c r="J64" s="2">
        <f t="shared" si="4"/>
        <v>4.9337844972096594</v>
      </c>
      <c r="K64" s="1">
        <v>37</v>
      </c>
      <c r="L64" s="1">
        <v>15.79</v>
      </c>
      <c r="M64" s="2">
        <f t="shared" si="5"/>
        <v>2.3432552248258394</v>
      </c>
      <c r="N64" s="2">
        <f t="shared" si="6"/>
        <v>6.8209010526739972E-2</v>
      </c>
      <c r="O64" s="3">
        <f t="shared" si="7"/>
        <v>-1</v>
      </c>
      <c r="P64" s="1">
        <v>81.5</v>
      </c>
      <c r="Q64" s="1">
        <v>5</v>
      </c>
    </row>
    <row r="65" spans="1:17" x14ac:dyDescent="0.2">
      <c r="A65" s="1">
        <v>62</v>
      </c>
      <c r="B65" s="1" t="s">
        <v>247</v>
      </c>
      <c r="C65" s="1">
        <v>1</v>
      </c>
      <c r="D65" s="1">
        <v>2020</v>
      </c>
      <c r="E65" s="1" t="s">
        <v>248</v>
      </c>
      <c r="F65" s="1" t="s">
        <v>249</v>
      </c>
      <c r="G65" s="1" t="s">
        <v>188</v>
      </c>
      <c r="H65" s="1" t="s">
        <v>63</v>
      </c>
      <c r="I65" s="1">
        <v>227</v>
      </c>
      <c r="J65" s="2">
        <f t="shared" si="4"/>
        <v>5.7318028369214575</v>
      </c>
      <c r="K65" s="1">
        <v>23</v>
      </c>
      <c r="L65" s="1">
        <v>12.18</v>
      </c>
      <c r="M65" s="2">
        <f t="shared" si="5"/>
        <v>1.8883415435139574</v>
      </c>
      <c r="N65" s="2">
        <f t="shared" si="6"/>
        <v>0.22236425077207564</v>
      </c>
      <c r="O65" s="3">
        <f t="shared" si="7"/>
        <v>1</v>
      </c>
      <c r="P65" s="1">
        <v>12</v>
      </c>
      <c r="Q65" s="1">
        <v>7</v>
      </c>
    </row>
    <row r="66" spans="1:17" x14ac:dyDescent="0.2">
      <c r="A66" s="1">
        <v>63</v>
      </c>
      <c r="B66" s="1" t="s">
        <v>285</v>
      </c>
      <c r="C66" s="1">
        <v>2</v>
      </c>
      <c r="D66" s="1">
        <v>2021</v>
      </c>
      <c r="E66" s="1" t="s">
        <v>169</v>
      </c>
      <c r="F66" s="1" t="s">
        <v>169</v>
      </c>
      <c r="G66" s="1" t="s">
        <v>188</v>
      </c>
      <c r="H66" s="1" t="s">
        <v>60</v>
      </c>
      <c r="I66" s="1">
        <v>114</v>
      </c>
      <c r="J66" s="2">
        <f t="shared" si="4"/>
        <v>5.0430512678345503</v>
      </c>
      <c r="K66" s="1">
        <v>37</v>
      </c>
      <c r="L66" s="1">
        <v>15.79</v>
      </c>
      <c r="M66" s="2">
        <f t="shared" si="5"/>
        <v>2.3432552248258394</v>
      </c>
      <c r="N66" s="2">
        <f t="shared" si="6"/>
        <v>5.0846627221292143E-2</v>
      </c>
      <c r="O66" s="3">
        <f t="shared" si="7"/>
        <v>-1</v>
      </c>
      <c r="P66" s="1">
        <v>77.5</v>
      </c>
      <c r="Q66" s="1">
        <v>5</v>
      </c>
    </row>
    <row r="67" spans="1:17" x14ac:dyDescent="0.2">
      <c r="A67" s="1">
        <v>64</v>
      </c>
      <c r="B67" s="1" t="s">
        <v>33</v>
      </c>
      <c r="C67" s="1">
        <v>1</v>
      </c>
      <c r="D67" s="1">
        <v>2017</v>
      </c>
      <c r="E67" s="1" t="s">
        <v>250</v>
      </c>
      <c r="F67" s="1" t="s">
        <v>251</v>
      </c>
      <c r="G67" s="1" t="s">
        <v>79</v>
      </c>
      <c r="H67" s="1" t="s">
        <v>63</v>
      </c>
      <c r="I67" s="1">
        <v>642</v>
      </c>
      <c r="J67" s="2">
        <f t="shared" si="4"/>
        <v>5.8551503912558607</v>
      </c>
      <c r="K67" s="1">
        <v>31</v>
      </c>
      <c r="L67" s="1">
        <v>15.79</v>
      </c>
      <c r="M67" s="2">
        <f t="shared" si="5"/>
        <v>1.9632678910702979</v>
      </c>
      <c r="N67" s="2">
        <f t="shared" si="6"/>
        <v>0.21499057175840464</v>
      </c>
      <c r="O67" s="3">
        <f t="shared" si="7"/>
        <v>1</v>
      </c>
      <c r="P67" s="1">
        <v>19</v>
      </c>
      <c r="Q67" s="1">
        <v>4</v>
      </c>
    </row>
    <row r="68" spans="1:17" x14ac:dyDescent="0.2">
      <c r="A68" s="1">
        <v>65</v>
      </c>
      <c r="B68" s="1" t="s">
        <v>286</v>
      </c>
      <c r="C68" s="1">
        <v>2</v>
      </c>
      <c r="D68" s="1">
        <v>2016</v>
      </c>
      <c r="E68" s="1" t="s">
        <v>167</v>
      </c>
      <c r="F68" s="1" t="s">
        <v>168</v>
      </c>
      <c r="G68" s="1" t="s">
        <v>188</v>
      </c>
      <c r="H68" s="1" t="s">
        <v>63</v>
      </c>
      <c r="I68" s="1">
        <v>514</v>
      </c>
      <c r="J68" s="2">
        <f t="shared" ref="J68:J99" si="8">LN(I68/((2022-D68)*C68))+1</f>
        <v>4.7573166156671647</v>
      </c>
      <c r="K68" s="1">
        <v>21</v>
      </c>
      <c r="L68" s="1">
        <v>9</v>
      </c>
      <c r="M68" s="2">
        <f t="shared" ref="M68:M99" si="9">K68/L68</f>
        <v>2.3333333333333335</v>
      </c>
      <c r="N68" s="2">
        <f t="shared" ref="N68:N99" si="10">ABS((J68 - MEDIAN($J$4:$J$34))/MAX($J$4:$J$34) - (M68 - MEDIAN($M$4:$M$34))/MAX($M$4:$M$34))</f>
        <v>9.2677703891385813E-2</v>
      </c>
      <c r="O68" s="3">
        <f t="shared" ref="O68:O103" si="11">SIGN((J68 - MEDIAN($J$4:$J$34))/MAX($J$4:$J$34) - (M68 - MEDIAN($M$4:$M$34))/MAX($M$4:$M$34))</f>
        <v>-1</v>
      </c>
      <c r="P68" s="1">
        <v>84</v>
      </c>
      <c r="Q68" s="1">
        <v>5</v>
      </c>
    </row>
    <row r="69" spans="1:17" x14ac:dyDescent="0.2">
      <c r="A69" s="1">
        <v>66</v>
      </c>
      <c r="B69" s="1" t="s">
        <v>13</v>
      </c>
      <c r="C69" s="1">
        <v>3</v>
      </c>
      <c r="D69" s="1">
        <v>2013</v>
      </c>
      <c r="E69" s="1" t="s">
        <v>100</v>
      </c>
      <c r="G69" s="1" t="s">
        <v>188</v>
      </c>
      <c r="H69" s="1" t="s">
        <v>63</v>
      </c>
      <c r="I69" s="1">
        <v>985</v>
      </c>
      <c r="J69" s="2">
        <f t="shared" si="8"/>
        <v>4.5968047751677599</v>
      </c>
      <c r="K69" s="1">
        <v>27</v>
      </c>
      <c r="L69" s="1">
        <v>15.79</v>
      </c>
      <c r="M69" s="2">
        <f t="shared" si="9"/>
        <v>1.7099430018999369</v>
      </c>
      <c r="N69" s="2">
        <f t="shared" si="10"/>
        <v>0.10623764048558074</v>
      </c>
      <c r="O69" s="3">
        <f t="shared" si="11"/>
        <v>1</v>
      </c>
      <c r="P69" s="1">
        <v>33</v>
      </c>
      <c r="Q69" s="1">
        <v>5</v>
      </c>
    </row>
    <row r="70" spans="1:17" x14ac:dyDescent="0.2">
      <c r="A70" s="1">
        <v>67</v>
      </c>
      <c r="B70" s="1" t="s">
        <v>21</v>
      </c>
      <c r="C70" s="1">
        <v>1</v>
      </c>
      <c r="D70" s="1">
        <v>2021</v>
      </c>
      <c r="E70" s="1" t="s">
        <v>136</v>
      </c>
      <c r="F70" s="1" t="s">
        <v>137</v>
      </c>
      <c r="G70" s="1" t="s">
        <v>229</v>
      </c>
      <c r="H70" s="1" t="s">
        <v>63</v>
      </c>
      <c r="I70" s="1">
        <v>104</v>
      </c>
      <c r="J70" s="2">
        <f t="shared" si="8"/>
        <v>5.6443908991413725</v>
      </c>
      <c r="K70" s="1">
        <v>15</v>
      </c>
      <c r="L70" s="1">
        <v>9</v>
      </c>
      <c r="M70" s="2">
        <f t="shared" si="9"/>
        <v>1.6666666666666667</v>
      </c>
      <c r="N70" s="2">
        <f t="shared" si="10"/>
        <v>0.28827753475988072</v>
      </c>
      <c r="O70" s="3">
        <f t="shared" si="11"/>
        <v>1</v>
      </c>
      <c r="P70" s="1">
        <v>15</v>
      </c>
      <c r="Q70" s="1">
        <v>1</v>
      </c>
    </row>
    <row r="71" spans="1:17" x14ac:dyDescent="0.2">
      <c r="A71" s="1">
        <v>68</v>
      </c>
      <c r="B71" s="1" t="s">
        <v>34</v>
      </c>
      <c r="C71" s="1">
        <v>1</v>
      </c>
      <c r="D71" s="1">
        <v>2004</v>
      </c>
      <c r="E71" s="1" t="s">
        <v>252</v>
      </c>
      <c r="F71" s="1" t="s">
        <v>253</v>
      </c>
      <c r="G71" s="1" t="s">
        <v>232</v>
      </c>
      <c r="H71" s="1" t="s">
        <v>63</v>
      </c>
      <c r="I71" s="1">
        <v>1315</v>
      </c>
      <c r="J71" s="2">
        <f t="shared" si="8"/>
        <v>5.2912201867156998</v>
      </c>
      <c r="K71" s="1">
        <v>24</v>
      </c>
      <c r="L71" s="1">
        <v>17.97</v>
      </c>
      <c r="M71" s="2">
        <f t="shared" si="9"/>
        <v>1.335559265442404</v>
      </c>
      <c r="N71" s="2">
        <f t="shared" si="10"/>
        <v>0.35135771737558569</v>
      </c>
      <c r="O71" s="3">
        <f t="shared" si="11"/>
        <v>1</v>
      </c>
      <c r="P71" s="1">
        <v>44</v>
      </c>
      <c r="Q71" s="1">
        <v>4</v>
      </c>
    </row>
    <row r="72" spans="1:17" x14ac:dyDescent="0.2">
      <c r="A72" s="1">
        <v>69</v>
      </c>
      <c r="B72" s="1" t="s">
        <v>287</v>
      </c>
      <c r="C72" s="1">
        <v>2</v>
      </c>
      <c r="D72" s="1">
        <v>2000</v>
      </c>
      <c r="E72" s="1" t="s">
        <v>101</v>
      </c>
      <c r="F72" s="1" t="s">
        <v>102</v>
      </c>
      <c r="G72" s="1" t="s">
        <v>188</v>
      </c>
      <c r="H72" s="1" t="s">
        <v>63</v>
      </c>
      <c r="I72" s="1">
        <v>1389</v>
      </c>
      <c r="J72" s="2">
        <f t="shared" si="8"/>
        <v>4.4521497088360826</v>
      </c>
      <c r="K72" s="1">
        <v>30</v>
      </c>
      <c r="L72" s="1">
        <v>17.97</v>
      </c>
      <c r="M72" s="2">
        <f t="shared" si="9"/>
        <v>1.6694490818030052</v>
      </c>
      <c r="N72" s="2">
        <f t="shared" si="10"/>
        <v>9.7829902734612423E-2</v>
      </c>
      <c r="O72" s="3">
        <f t="shared" si="11"/>
        <v>1</v>
      </c>
      <c r="P72" s="1">
        <v>36</v>
      </c>
      <c r="Q72" s="1">
        <v>2</v>
      </c>
    </row>
    <row r="73" spans="1:17" x14ac:dyDescent="0.2">
      <c r="A73" s="1">
        <v>70</v>
      </c>
      <c r="B73" s="1" t="s">
        <v>49</v>
      </c>
      <c r="C73" s="1">
        <v>1</v>
      </c>
      <c r="D73" s="1">
        <v>2016</v>
      </c>
      <c r="E73" s="1" t="s">
        <v>138</v>
      </c>
      <c r="F73" s="1" t="s">
        <v>139</v>
      </c>
      <c r="G73" s="1" t="s">
        <v>79</v>
      </c>
      <c r="H73" s="1" t="s">
        <v>63</v>
      </c>
      <c r="I73" s="1">
        <v>247</v>
      </c>
      <c r="J73" s="2">
        <f t="shared" si="8"/>
        <v>4.717628867399922</v>
      </c>
      <c r="K73" s="1">
        <v>10</v>
      </c>
      <c r="L73" s="1">
        <v>9</v>
      </c>
      <c r="M73" s="2">
        <f t="shared" si="9"/>
        <v>1.1111111111111112</v>
      </c>
      <c r="N73" s="2">
        <f t="shared" si="10"/>
        <v>0.3410159516087703</v>
      </c>
      <c r="O73" s="3">
        <f t="shared" si="11"/>
        <v>1</v>
      </c>
      <c r="P73" s="1">
        <v>54</v>
      </c>
      <c r="Q73" s="1">
        <v>2</v>
      </c>
    </row>
    <row r="74" spans="1:17" x14ac:dyDescent="0.2">
      <c r="A74" s="1">
        <v>71</v>
      </c>
      <c r="B74" s="1" t="s">
        <v>4</v>
      </c>
      <c r="C74" s="1">
        <v>1</v>
      </c>
      <c r="D74" s="1">
        <v>2017</v>
      </c>
      <c r="E74" s="1" t="s">
        <v>165</v>
      </c>
      <c r="F74" s="1" t="s">
        <v>166</v>
      </c>
      <c r="G74" s="1" t="s">
        <v>188</v>
      </c>
      <c r="H74" s="1" t="s">
        <v>63</v>
      </c>
      <c r="I74" s="1">
        <v>309</v>
      </c>
      <c r="J74" s="2">
        <f t="shared" si="8"/>
        <v>5.1239033644636454</v>
      </c>
      <c r="K74" s="1">
        <v>12</v>
      </c>
      <c r="L74" s="1">
        <v>9</v>
      </c>
      <c r="M74" s="2">
        <f t="shared" si="9"/>
        <v>1.3333333333333333</v>
      </c>
      <c r="N74" s="2">
        <f t="shared" si="10"/>
        <v>0.32557257303088766</v>
      </c>
      <c r="O74" s="3">
        <f t="shared" si="11"/>
        <v>1</v>
      </c>
      <c r="P74" s="1">
        <v>33</v>
      </c>
      <c r="Q74" s="1">
        <v>7</v>
      </c>
    </row>
    <row r="75" spans="1:17" x14ac:dyDescent="0.2">
      <c r="A75" s="1">
        <v>72</v>
      </c>
      <c r="B75" s="1" t="s">
        <v>55</v>
      </c>
      <c r="C75" s="1">
        <v>3</v>
      </c>
      <c r="D75" s="1">
        <v>2000</v>
      </c>
      <c r="E75" s="1" t="s">
        <v>103</v>
      </c>
      <c r="F75" s="1" t="s">
        <v>104</v>
      </c>
      <c r="G75" s="1" t="s">
        <v>188</v>
      </c>
      <c r="H75" s="1" t="s">
        <v>63</v>
      </c>
      <c r="I75" s="1">
        <v>958</v>
      </c>
      <c r="J75" s="2">
        <f t="shared" si="8"/>
        <v>3.6751930359444351</v>
      </c>
      <c r="K75" s="1">
        <v>23</v>
      </c>
      <c r="L75" s="1">
        <v>12.18</v>
      </c>
      <c r="M75" s="2">
        <f t="shared" si="9"/>
        <v>1.8883415435139574</v>
      </c>
      <c r="N75" s="2">
        <f t="shared" si="10"/>
        <v>0.10442904118753582</v>
      </c>
      <c r="O75" s="3">
        <f t="shared" si="11"/>
        <v>-1</v>
      </c>
      <c r="P75" s="1">
        <v>77.5</v>
      </c>
      <c r="Q75" s="1">
        <v>3</v>
      </c>
    </row>
    <row r="76" spans="1:17" x14ac:dyDescent="0.2">
      <c r="A76" s="1">
        <v>73</v>
      </c>
      <c r="B76" s="1" t="s">
        <v>288</v>
      </c>
      <c r="C76" s="1">
        <v>2</v>
      </c>
      <c r="D76" s="1">
        <v>2018</v>
      </c>
      <c r="E76" s="1" t="s">
        <v>140</v>
      </c>
      <c r="F76" s="1" t="s">
        <v>141</v>
      </c>
      <c r="G76" s="1" t="s">
        <v>79</v>
      </c>
      <c r="H76" s="1" t="s">
        <v>63</v>
      </c>
      <c r="I76" s="1">
        <v>152</v>
      </c>
      <c r="J76" s="2">
        <f t="shared" si="8"/>
        <v>3.9444389791664403</v>
      </c>
      <c r="K76" s="1">
        <v>11</v>
      </c>
      <c r="L76" s="1">
        <v>9</v>
      </c>
      <c r="M76" s="2">
        <f t="shared" si="9"/>
        <v>1.2222222222222223</v>
      </c>
      <c r="N76" s="2">
        <f t="shared" si="10"/>
        <v>0.17815683231172741</v>
      </c>
      <c r="O76" s="3">
        <f t="shared" si="11"/>
        <v>1</v>
      </c>
      <c r="P76" s="1">
        <v>1</v>
      </c>
      <c r="Q76" s="1">
        <v>3</v>
      </c>
    </row>
    <row r="77" spans="1:17" x14ac:dyDescent="0.2">
      <c r="A77" s="1">
        <v>74</v>
      </c>
      <c r="B77" s="1" t="s">
        <v>35</v>
      </c>
      <c r="C77" s="1">
        <v>3</v>
      </c>
      <c r="D77" s="1">
        <v>2019</v>
      </c>
      <c r="E77" s="1" t="s">
        <v>255</v>
      </c>
      <c r="F77" s="1" t="s">
        <v>256</v>
      </c>
      <c r="G77" s="1" t="s">
        <v>188</v>
      </c>
      <c r="H77" s="1" t="s">
        <v>245</v>
      </c>
      <c r="I77" s="1">
        <v>199</v>
      </c>
      <c r="J77" s="2">
        <f t="shared" si="8"/>
        <v>4.0960802473882731</v>
      </c>
      <c r="K77" s="1">
        <v>26</v>
      </c>
      <c r="L77" s="1">
        <v>15.79</v>
      </c>
      <c r="M77" s="2">
        <f t="shared" si="9"/>
        <v>1.6466117796073465</v>
      </c>
      <c r="N77" s="2">
        <f t="shared" si="10"/>
        <v>4.9472241306994291E-2</v>
      </c>
      <c r="O77" s="3">
        <f t="shared" si="11"/>
        <v>1</v>
      </c>
      <c r="P77" s="1">
        <v>54</v>
      </c>
      <c r="Q77" s="1">
        <v>4</v>
      </c>
    </row>
    <row r="78" spans="1:17" x14ac:dyDescent="0.2">
      <c r="A78" s="1">
        <v>75</v>
      </c>
      <c r="B78" s="1" t="s">
        <v>22</v>
      </c>
      <c r="C78" s="1">
        <v>1</v>
      </c>
      <c r="D78" s="1">
        <v>2013</v>
      </c>
      <c r="E78" s="1" t="s">
        <v>142</v>
      </c>
      <c r="F78" s="1" t="s">
        <v>143</v>
      </c>
      <c r="G78" s="1" t="s">
        <v>79</v>
      </c>
      <c r="H78" s="1" t="s">
        <v>63</v>
      </c>
      <c r="I78" s="1">
        <v>208</v>
      </c>
      <c r="J78" s="2">
        <f t="shared" si="8"/>
        <v>4.1403135023650988</v>
      </c>
      <c r="K78" s="1">
        <v>9</v>
      </c>
      <c r="L78" s="1">
        <v>9</v>
      </c>
      <c r="M78" s="2">
        <f t="shared" si="9"/>
        <v>1</v>
      </c>
      <c r="N78" s="2">
        <f t="shared" si="10"/>
        <v>0.28928110304927801</v>
      </c>
      <c r="O78" s="3">
        <f t="shared" si="11"/>
        <v>1</v>
      </c>
      <c r="P78" s="1">
        <v>36</v>
      </c>
      <c r="Q78" s="1">
        <v>1</v>
      </c>
    </row>
    <row r="79" spans="1:17" x14ac:dyDescent="0.2">
      <c r="A79" s="1">
        <v>76</v>
      </c>
      <c r="B79" s="1" t="s">
        <v>289</v>
      </c>
      <c r="C79" s="1">
        <v>2</v>
      </c>
      <c r="D79" s="1">
        <v>1994</v>
      </c>
      <c r="E79" s="1" t="s">
        <v>257</v>
      </c>
      <c r="G79" s="1" t="s">
        <v>231</v>
      </c>
      <c r="H79" s="1" t="s">
        <v>60</v>
      </c>
      <c r="I79" s="1">
        <v>1768</v>
      </c>
      <c r="J79" s="2">
        <f t="shared" si="8"/>
        <v>4.4522525524624399</v>
      </c>
      <c r="K79" s="1">
        <v>16</v>
      </c>
      <c r="L79" s="1">
        <v>9</v>
      </c>
      <c r="M79" s="2">
        <f t="shared" si="9"/>
        <v>1.7777777777777777</v>
      </c>
      <c r="N79" s="2">
        <f t="shared" si="10"/>
        <v>5.8847913935638915E-2</v>
      </c>
      <c r="O79" s="3">
        <f t="shared" si="11"/>
        <v>1</v>
      </c>
      <c r="P79" s="1">
        <v>56.5</v>
      </c>
      <c r="Q79" s="1">
        <v>4</v>
      </c>
    </row>
    <row r="80" spans="1:17" x14ac:dyDescent="0.2">
      <c r="A80" s="1">
        <v>77</v>
      </c>
      <c r="B80" s="1" t="s">
        <v>290</v>
      </c>
      <c r="C80" s="1">
        <v>2</v>
      </c>
      <c r="D80" s="1">
        <v>2020</v>
      </c>
      <c r="E80" s="1" t="s">
        <v>163</v>
      </c>
      <c r="F80" s="1" t="s">
        <v>164</v>
      </c>
      <c r="G80" s="1" t="s">
        <v>230</v>
      </c>
      <c r="H80" s="1" t="s">
        <v>63</v>
      </c>
      <c r="I80" s="1">
        <v>253</v>
      </c>
      <c r="J80" s="2">
        <f t="shared" si="8"/>
        <v>5.1470951276076295</v>
      </c>
      <c r="K80" s="1">
        <v>16</v>
      </c>
      <c r="L80" s="1">
        <v>9</v>
      </c>
      <c r="M80" s="2">
        <f t="shared" si="9"/>
        <v>1.7777777777777777</v>
      </c>
      <c r="N80" s="2">
        <f t="shared" si="10"/>
        <v>0.16925772158000457</v>
      </c>
      <c r="O80" s="3">
        <f t="shared" si="11"/>
        <v>1</v>
      </c>
      <c r="P80" s="1">
        <v>24</v>
      </c>
      <c r="Q80" s="1">
        <v>4</v>
      </c>
    </row>
    <row r="81" spans="1:17" x14ac:dyDescent="0.2">
      <c r="A81" s="1">
        <v>78</v>
      </c>
      <c r="B81" s="1" t="s">
        <v>291</v>
      </c>
      <c r="C81" s="1">
        <v>2</v>
      </c>
      <c r="D81" s="1">
        <v>2014</v>
      </c>
      <c r="E81" s="1" t="s">
        <v>144</v>
      </c>
      <c r="F81" s="1" t="s">
        <v>145</v>
      </c>
      <c r="G81" s="1" t="s">
        <v>188</v>
      </c>
      <c r="H81" s="1" t="s">
        <v>60</v>
      </c>
      <c r="I81" s="1">
        <v>389</v>
      </c>
      <c r="J81" s="2">
        <f t="shared" si="8"/>
        <v>4.1909906213786652</v>
      </c>
      <c r="K81" s="1">
        <v>18</v>
      </c>
      <c r="L81" s="1">
        <v>17.97</v>
      </c>
      <c r="M81" s="2">
        <f t="shared" si="9"/>
        <v>1.001669449081803</v>
      </c>
      <c r="N81" s="2">
        <f t="shared" si="10"/>
        <v>0.29673264617544592</v>
      </c>
      <c r="O81" s="3">
        <f t="shared" si="11"/>
        <v>1</v>
      </c>
      <c r="P81" s="1">
        <v>41</v>
      </c>
      <c r="Q81" s="1">
        <v>1</v>
      </c>
    </row>
    <row r="82" spans="1:17" x14ac:dyDescent="0.2">
      <c r="A82" s="1">
        <v>79</v>
      </c>
      <c r="B82" s="1" t="s">
        <v>292</v>
      </c>
      <c r="C82" s="1">
        <v>2</v>
      </c>
      <c r="D82" s="1">
        <v>2012</v>
      </c>
      <c r="E82" s="1" t="s">
        <v>59</v>
      </c>
      <c r="G82" s="1" t="s">
        <v>229</v>
      </c>
      <c r="H82" s="1" t="s">
        <v>60</v>
      </c>
      <c r="I82" s="1">
        <v>351</v>
      </c>
      <c r="J82" s="2">
        <f t="shared" si="8"/>
        <v>3.865053949911875</v>
      </c>
      <c r="K82" s="1">
        <v>11</v>
      </c>
      <c r="L82" s="1">
        <v>9</v>
      </c>
      <c r="M82" s="2">
        <f t="shared" si="9"/>
        <v>1.2222222222222223</v>
      </c>
      <c r="N82" s="2">
        <f t="shared" si="10"/>
        <v>0.16554262857211424</v>
      </c>
      <c r="O82" s="3">
        <f t="shared" si="11"/>
        <v>1</v>
      </c>
      <c r="P82" s="1">
        <v>4</v>
      </c>
      <c r="Q82" s="1">
        <v>3</v>
      </c>
    </row>
    <row r="83" spans="1:17" x14ac:dyDescent="0.2">
      <c r="A83" s="1">
        <v>80</v>
      </c>
      <c r="B83" s="1" t="s">
        <v>56</v>
      </c>
      <c r="C83" s="1">
        <v>3</v>
      </c>
      <c r="D83" s="1">
        <v>2011</v>
      </c>
      <c r="E83" s="1" t="s">
        <v>106</v>
      </c>
      <c r="F83" s="1" t="s">
        <v>107</v>
      </c>
      <c r="G83" s="1" t="s">
        <v>188</v>
      </c>
      <c r="H83" s="1" t="s">
        <v>63</v>
      </c>
      <c r="I83" s="1">
        <v>573</v>
      </c>
      <c r="J83" s="2">
        <f t="shared" si="8"/>
        <v>3.8543781552482592</v>
      </c>
      <c r="K83" s="1">
        <v>25</v>
      </c>
      <c r="L83" s="1">
        <v>17.97</v>
      </c>
      <c r="M83" s="2">
        <f t="shared" si="9"/>
        <v>1.3912075681691709</v>
      </c>
      <c r="N83" s="2">
        <f t="shared" si="10"/>
        <v>0.10301153066921162</v>
      </c>
      <c r="O83" s="3">
        <f t="shared" si="11"/>
        <v>1</v>
      </c>
      <c r="P83" s="1">
        <v>28</v>
      </c>
      <c r="Q83" s="1">
        <v>3</v>
      </c>
    </row>
    <row r="84" spans="1:17" x14ac:dyDescent="0.2">
      <c r="A84" s="1">
        <v>81</v>
      </c>
      <c r="B84" s="1" t="s">
        <v>50</v>
      </c>
      <c r="C84" s="1">
        <v>1</v>
      </c>
      <c r="D84" s="1">
        <v>1990</v>
      </c>
      <c r="E84" s="1" t="s">
        <v>258</v>
      </c>
      <c r="G84" s="1" t="s">
        <v>231</v>
      </c>
      <c r="H84" s="1" t="s">
        <v>60</v>
      </c>
      <c r="I84" s="1">
        <v>974</v>
      </c>
      <c r="J84" s="2">
        <f t="shared" si="8"/>
        <v>4.4156754008428081</v>
      </c>
      <c r="K84" s="1">
        <v>37</v>
      </c>
      <c r="L84" s="1">
        <v>17.97</v>
      </c>
      <c r="M84" s="2">
        <f t="shared" si="9"/>
        <v>2.0589872008903729</v>
      </c>
      <c r="N84" s="2">
        <f t="shared" si="10"/>
        <v>4.8199552110600077E-2</v>
      </c>
      <c r="O84" s="3">
        <f t="shared" si="11"/>
        <v>-1</v>
      </c>
      <c r="P84" s="1">
        <v>70.5</v>
      </c>
      <c r="Q84" s="1">
        <v>2</v>
      </c>
    </row>
    <row r="85" spans="1:17" x14ac:dyDescent="0.2">
      <c r="A85" s="1">
        <v>82</v>
      </c>
      <c r="B85" s="1" t="s">
        <v>51</v>
      </c>
      <c r="C85" s="1">
        <v>4</v>
      </c>
      <c r="D85" s="1">
        <v>2018</v>
      </c>
      <c r="E85" s="1" t="s">
        <v>108</v>
      </c>
      <c r="F85" s="1" t="s">
        <v>109</v>
      </c>
      <c r="G85" s="1" t="s">
        <v>230</v>
      </c>
      <c r="H85" s="1" t="s">
        <v>60</v>
      </c>
      <c r="I85" s="1">
        <v>620</v>
      </c>
      <c r="J85" s="2">
        <f t="shared" si="8"/>
        <v>4.657130755799356</v>
      </c>
      <c r="K85" s="1">
        <v>10</v>
      </c>
      <c r="L85" s="1">
        <v>9</v>
      </c>
      <c r="M85" s="2">
        <f t="shared" si="9"/>
        <v>1.1111111111111112</v>
      </c>
      <c r="N85" s="2">
        <f t="shared" si="10"/>
        <v>0.33140286066760261</v>
      </c>
      <c r="O85" s="3">
        <f t="shared" si="11"/>
        <v>1</v>
      </c>
      <c r="P85" s="1">
        <v>49.5</v>
      </c>
      <c r="Q85" s="1">
        <v>2</v>
      </c>
    </row>
    <row r="86" spans="1:17" x14ac:dyDescent="0.2">
      <c r="A86" s="1">
        <v>83</v>
      </c>
      <c r="B86" s="1" t="s">
        <v>57</v>
      </c>
      <c r="C86" s="1">
        <v>5</v>
      </c>
      <c r="D86" s="1">
        <v>2015</v>
      </c>
      <c r="E86" s="1" t="s">
        <v>110</v>
      </c>
      <c r="F86" s="1" t="s">
        <v>111</v>
      </c>
      <c r="G86" s="1" t="s">
        <v>79</v>
      </c>
      <c r="H86" s="1" t="s">
        <v>63</v>
      </c>
      <c r="I86" s="1">
        <v>627</v>
      </c>
      <c r="J86" s="2">
        <f t="shared" si="8"/>
        <v>3.885598479143507</v>
      </c>
      <c r="K86" s="1">
        <v>15</v>
      </c>
      <c r="L86" s="1">
        <v>12.18</v>
      </c>
      <c r="M86" s="2">
        <f t="shared" si="9"/>
        <v>1.2315270935960592</v>
      </c>
      <c r="N86" s="2">
        <f t="shared" si="10"/>
        <v>0.16545738053931483</v>
      </c>
      <c r="O86" s="3">
        <f t="shared" si="11"/>
        <v>1</v>
      </c>
      <c r="P86" s="1">
        <v>4</v>
      </c>
      <c r="Q86" s="1">
        <v>3</v>
      </c>
    </row>
    <row r="87" spans="1:17" x14ac:dyDescent="0.2">
      <c r="A87" s="1">
        <v>84</v>
      </c>
      <c r="B87" s="1" t="s">
        <v>23</v>
      </c>
      <c r="C87" s="1">
        <v>1</v>
      </c>
      <c r="D87" s="1">
        <v>2017</v>
      </c>
      <c r="E87" s="1" t="s">
        <v>162</v>
      </c>
      <c r="F87" s="1" t="s">
        <v>161</v>
      </c>
      <c r="G87" s="1" t="s">
        <v>79</v>
      </c>
      <c r="H87" s="1" t="s">
        <v>63</v>
      </c>
      <c r="I87" s="1">
        <v>79</v>
      </c>
      <c r="J87" s="2">
        <f t="shared" si="8"/>
        <v>3.760009940032921</v>
      </c>
      <c r="K87" s="1">
        <v>13</v>
      </c>
      <c r="L87" s="1">
        <v>9</v>
      </c>
      <c r="M87" s="2">
        <f t="shared" si="9"/>
        <v>1.4444444444444444</v>
      </c>
      <c r="N87" s="2">
        <f t="shared" si="10"/>
        <v>6.8851237831550144E-2</v>
      </c>
      <c r="O87" s="3">
        <f t="shared" si="11"/>
        <v>1</v>
      </c>
      <c r="P87" s="1">
        <v>36</v>
      </c>
      <c r="Q87" s="1">
        <v>1</v>
      </c>
    </row>
    <row r="88" spans="1:17" x14ac:dyDescent="0.2">
      <c r="A88" s="1">
        <v>85</v>
      </c>
      <c r="B88" s="1" t="s">
        <v>36</v>
      </c>
      <c r="C88" s="1">
        <v>3</v>
      </c>
      <c r="D88" s="1">
        <v>1989</v>
      </c>
      <c r="E88" s="1" t="s">
        <v>259</v>
      </c>
      <c r="F88" s="1" t="s">
        <v>260</v>
      </c>
      <c r="G88" s="1" t="s">
        <v>79</v>
      </c>
      <c r="H88" s="1" t="s">
        <v>63</v>
      </c>
      <c r="I88" s="1">
        <v>1707</v>
      </c>
      <c r="J88" s="2">
        <f t="shared" si="8"/>
        <v>3.8473728726598506</v>
      </c>
      <c r="K88" s="1">
        <v>21</v>
      </c>
      <c r="L88" s="1">
        <v>9</v>
      </c>
      <c r="M88" s="2">
        <f t="shared" si="9"/>
        <v>2.3333333333333335</v>
      </c>
      <c r="N88" s="2">
        <f t="shared" si="10"/>
        <v>0.23726687736228147</v>
      </c>
      <c r="O88" s="3">
        <f t="shared" si="11"/>
        <v>-1</v>
      </c>
      <c r="P88" s="1">
        <v>94</v>
      </c>
      <c r="Q88" s="1">
        <v>4</v>
      </c>
    </row>
    <row r="89" spans="1:17" x14ac:dyDescent="0.2">
      <c r="A89" s="1">
        <v>86</v>
      </c>
      <c r="B89" s="1" t="s">
        <v>24</v>
      </c>
      <c r="C89" s="1">
        <v>1</v>
      </c>
      <c r="D89" s="1">
        <v>2004</v>
      </c>
      <c r="E89" s="1" t="s">
        <v>152</v>
      </c>
      <c r="F89" s="1" t="s">
        <v>153</v>
      </c>
      <c r="G89" s="1" t="s">
        <v>188</v>
      </c>
      <c r="H89" s="1" t="s">
        <v>63</v>
      </c>
      <c r="I89" s="1">
        <v>353</v>
      </c>
      <c r="J89" s="2">
        <f t="shared" si="8"/>
        <v>3.976096299037132</v>
      </c>
      <c r="K89" s="1">
        <v>11</v>
      </c>
      <c r="L89" s="1">
        <v>9</v>
      </c>
      <c r="M89" s="2">
        <f t="shared" si="9"/>
        <v>1.2222222222222223</v>
      </c>
      <c r="N89" s="2">
        <f t="shared" si="10"/>
        <v>0.18318714956989035</v>
      </c>
      <c r="O89" s="3">
        <f t="shared" si="11"/>
        <v>1</v>
      </c>
      <c r="P89" s="1">
        <v>1</v>
      </c>
      <c r="Q89" s="1">
        <v>1</v>
      </c>
    </row>
    <row r="90" spans="1:17" x14ac:dyDescent="0.2">
      <c r="A90" s="1">
        <v>87</v>
      </c>
      <c r="B90" s="1" t="s">
        <v>25</v>
      </c>
      <c r="C90" s="1">
        <v>3</v>
      </c>
      <c r="D90" s="1">
        <v>2020</v>
      </c>
      <c r="E90" s="1" t="s">
        <v>112</v>
      </c>
      <c r="F90" s="1" t="s">
        <v>113</v>
      </c>
      <c r="G90" s="1" t="s">
        <v>230</v>
      </c>
      <c r="H90" s="1" t="s">
        <v>60</v>
      </c>
      <c r="I90" s="1">
        <v>581</v>
      </c>
      <c r="J90" s="2">
        <f t="shared" si="8"/>
        <v>5.5729912876238563</v>
      </c>
      <c r="K90" s="1">
        <v>15</v>
      </c>
      <c r="L90" s="1">
        <v>9</v>
      </c>
      <c r="M90" s="2">
        <f t="shared" si="9"/>
        <v>1.6666666666666667</v>
      </c>
      <c r="N90" s="2">
        <f t="shared" si="10"/>
        <v>0.27693220611204394</v>
      </c>
      <c r="O90" s="3">
        <f t="shared" si="11"/>
        <v>1</v>
      </c>
      <c r="P90" s="1">
        <v>12</v>
      </c>
      <c r="Q90" s="1">
        <v>1</v>
      </c>
    </row>
    <row r="91" spans="1:17" x14ac:dyDescent="0.2">
      <c r="A91" s="1">
        <v>88</v>
      </c>
      <c r="B91" s="1" t="s">
        <v>293</v>
      </c>
      <c r="C91" s="1">
        <v>2</v>
      </c>
      <c r="D91" s="1">
        <v>2021</v>
      </c>
      <c r="E91" s="1" t="s">
        <v>267</v>
      </c>
      <c r="F91" s="1" t="s">
        <v>268</v>
      </c>
      <c r="G91" s="1" t="s">
        <v>65</v>
      </c>
      <c r="H91" s="1" t="s">
        <v>245</v>
      </c>
      <c r="I91" s="1">
        <v>280</v>
      </c>
      <c r="J91" s="2">
        <f t="shared" si="8"/>
        <v>5.9416424226093039</v>
      </c>
      <c r="K91" s="1">
        <v>24</v>
      </c>
      <c r="L91" s="1">
        <v>15.79</v>
      </c>
      <c r="M91" s="2">
        <f t="shared" si="9"/>
        <v>1.519949335022166</v>
      </c>
      <c r="N91" s="2">
        <f t="shared" si="10"/>
        <v>0.38832875137876599</v>
      </c>
      <c r="O91" s="3">
        <f t="shared" si="11"/>
        <v>1</v>
      </c>
      <c r="P91" s="1">
        <v>49.5</v>
      </c>
      <c r="Q91" s="1">
        <v>4</v>
      </c>
    </row>
    <row r="92" spans="1:17" x14ac:dyDescent="0.2">
      <c r="A92" s="1">
        <v>89</v>
      </c>
      <c r="B92" s="1" t="s">
        <v>5</v>
      </c>
      <c r="C92" s="1">
        <v>1</v>
      </c>
      <c r="D92" s="1">
        <v>1991</v>
      </c>
      <c r="E92" s="1" t="s">
        <v>114</v>
      </c>
      <c r="F92" s="1" t="s">
        <v>115</v>
      </c>
      <c r="G92" s="1" t="s">
        <v>188</v>
      </c>
      <c r="H92" s="1" t="s">
        <v>63</v>
      </c>
      <c r="I92" s="1">
        <v>1740</v>
      </c>
      <c r="J92" s="2">
        <f t="shared" si="8"/>
        <v>5.0276531877234287</v>
      </c>
      <c r="K92" s="1">
        <v>22</v>
      </c>
      <c r="L92" s="1">
        <v>15.79</v>
      </c>
      <c r="M92" s="2">
        <f t="shared" si="9"/>
        <v>1.3932868904369855</v>
      </c>
      <c r="N92" s="2">
        <f t="shared" si="10"/>
        <v>0.2886952332438214</v>
      </c>
      <c r="O92" s="3">
        <f t="shared" si="11"/>
        <v>1</v>
      </c>
      <c r="P92" s="1">
        <v>26</v>
      </c>
      <c r="Q92" s="1">
        <v>7</v>
      </c>
    </row>
    <row r="93" spans="1:17" x14ac:dyDescent="0.2">
      <c r="A93" s="1">
        <v>90</v>
      </c>
      <c r="B93" s="1" t="s">
        <v>254</v>
      </c>
      <c r="C93" s="1">
        <v>1</v>
      </c>
      <c r="D93" s="1">
        <v>1978</v>
      </c>
      <c r="E93" s="1" t="s">
        <v>240</v>
      </c>
      <c r="G93" s="1" t="s">
        <v>230</v>
      </c>
      <c r="H93" s="1" t="s">
        <v>60</v>
      </c>
      <c r="I93" s="1">
        <v>3723</v>
      </c>
      <c r="J93" s="2">
        <f t="shared" si="8"/>
        <v>5.4380954399544557</v>
      </c>
      <c r="K93" s="1">
        <v>26</v>
      </c>
      <c r="L93" s="1">
        <v>9</v>
      </c>
      <c r="M93" s="2">
        <f t="shared" si="9"/>
        <v>2.8888888888888888</v>
      </c>
      <c r="N93" s="2">
        <f t="shared" si="10"/>
        <v>0.18450261254467129</v>
      </c>
      <c r="O93" s="3">
        <f t="shared" si="11"/>
        <v>-1</v>
      </c>
      <c r="P93" s="1">
        <v>95</v>
      </c>
      <c r="Q93" s="1">
        <v>2</v>
      </c>
    </row>
    <row r="94" spans="1:17" x14ac:dyDescent="0.2">
      <c r="A94" s="1">
        <v>91</v>
      </c>
      <c r="B94" s="1" t="s">
        <v>20</v>
      </c>
      <c r="C94" s="1">
        <v>5</v>
      </c>
      <c r="D94" s="1">
        <v>2018</v>
      </c>
      <c r="E94" s="1" t="s">
        <v>116</v>
      </c>
      <c r="F94" s="1" t="s">
        <v>117</v>
      </c>
      <c r="G94" s="1" t="s">
        <v>188</v>
      </c>
      <c r="H94" s="1" t="s">
        <v>63</v>
      </c>
      <c r="I94" s="1">
        <v>635</v>
      </c>
      <c r="J94" s="2">
        <f t="shared" si="8"/>
        <v>4.4578927253387004</v>
      </c>
      <c r="K94" s="1">
        <v>16</v>
      </c>
      <c r="L94" s="1">
        <v>15.79</v>
      </c>
      <c r="M94" s="2">
        <f t="shared" si="9"/>
        <v>1.013299556681444</v>
      </c>
      <c r="N94" s="2">
        <f t="shared" si="10"/>
        <v>0.33495629150058198</v>
      </c>
      <c r="O94" s="3">
        <f t="shared" si="11"/>
        <v>1</v>
      </c>
      <c r="P94" s="1">
        <v>54</v>
      </c>
      <c r="Q94" s="1">
        <v>6</v>
      </c>
    </row>
    <row r="95" spans="1:17" x14ac:dyDescent="0.2">
      <c r="A95" s="1">
        <v>92</v>
      </c>
      <c r="B95" s="1" t="s">
        <v>26</v>
      </c>
      <c r="C95" s="1">
        <v>1</v>
      </c>
      <c r="D95" s="1">
        <v>2020</v>
      </c>
      <c r="E95" s="1" t="s">
        <v>146</v>
      </c>
      <c r="F95" s="1" t="s">
        <v>147</v>
      </c>
      <c r="G95" s="1" t="s">
        <v>188</v>
      </c>
      <c r="H95" s="1" t="s">
        <v>63</v>
      </c>
      <c r="I95" s="1">
        <v>96</v>
      </c>
      <c r="J95" s="2">
        <f t="shared" si="8"/>
        <v>4.8712010109078907</v>
      </c>
      <c r="K95" s="1">
        <v>18</v>
      </c>
      <c r="L95" s="1">
        <v>12.18</v>
      </c>
      <c r="M95" s="2">
        <f t="shared" si="9"/>
        <v>1.4778325123152709</v>
      </c>
      <c r="N95" s="2">
        <f t="shared" si="10"/>
        <v>0.23339871102934037</v>
      </c>
      <c r="O95" s="3">
        <f t="shared" si="11"/>
        <v>1</v>
      </c>
      <c r="P95" s="1">
        <v>6</v>
      </c>
      <c r="Q95" s="1">
        <v>1</v>
      </c>
    </row>
    <row r="96" spans="1:17" x14ac:dyDescent="0.2">
      <c r="A96" s="1">
        <v>93</v>
      </c>
      <c r="B96" s="1" t="s">
        <v>58</v>
      </c>
      <c r="C96" s="1">
        <v>1</v>
      </c>
      <c r="D96" s="1">
        <v>2018</v>
      </c>
      <c r="E96" s="1" t="s">
        <v>148</v>
      </c>
      <c r="F96" s="1" t="s">
        <v>149</v>
      </c>
      <c r="G96" s="1" t="s">
        <v>79</v>
      </c>
      <c r="H96" s="1" t="s">
        <v>63</v>
      </c>
      <c r="I96" s="1">
        <v>174</v>
      </c>
      <c r="J96" s="2">
        <f t="shared" si="8"/>
        <v>4.7727609380946383</v>
      </c>
      <c r="K96" s="1">
        <v>11</v>
      </c>
      <c r="L96" s="1">
        <v>9</v>
      </c>
      <c r="M96" s="2">
        <f t="shared" si="9"/>
        <v>1.2222222222222223</v>
      </c>
      <c r="N96" s="2">
        <f t="shared" si="10"/>
        <v>0.30977638388246515</v>
      </c>
      <c r="O96" s="3">
        <f t="shared" si="11"/>
        <v>1</v>
      </c>
      <c r="P96" s="1">
        <v>33</v>
      </c>
      <c r="Q96" s="1">
        <v>3</v>
      </c>
    </row>
    <row r="97" spans="1:23" x14ac:dyDescent="0.2">
      <c r="A97" s="1">
        <v>94</v>
      </c>
      <c r="B97" s="1" t="s">
        <v>14</v>
      </c>
      <c r="C97" s="1">
        <v>8</v>
      </c>
      <c r="D97" s="1">
        <v>2017</v>
      </c>
      <c r="E97" s="1" t="s">
        <v>159</v>
      </c>
      <c r="F97" s="1" t="s">
        <v>160</v>
      </c>
      <c r="G97" s="1" t="s">
        <v>65</v>
      </c>
      <c r="H97" s="1" t="s">
        <v>63</v>
      </c>
      <c r="I97" s="1">
        <v>1587</v>
      </c>
      <c r="J97" s="2">
        <f t="shared" si="8"/>
        <v>4.6807212664124727</v>
      </c>
      <c r="K97" s="1">
        <v>19</v>
      </c>
      <c r="L97" s="1">
        <v>15.79</v>
      </c>
      <c r="M97" s="2">
        <f t="shared" si="9"/>
        <v>1.2032932235592149</v>
      </c>
      <c r="N97" s="2">
        <f t="shared" si="10"/>
        <v>0.30196580931942574</v>
      </c>
      <c r="O97" s="3">
        <f t="shared" si="11"/>
        <v>1</v>
      </c>
      <c r="P97" s="1">
        <v>33</v>
      </c>
      <c r="Q97" s="1">
        <v>5</v>
      </c>
    </row>
    <row r="98" spans="1:23" x14ac:dyDescent="0.2">
      <c r="A98" s="1">
        <v>95</v>
      </c>
      <c r="B98" s="1" t="s">
        <v>61</v>
      </c>
      <c r="C98" s="1">
        <v>1</v>
      </c>
      <c r="D98" s="1">
        <v>2017</v>
      </c>
      <c r="E98" s="1" t="s">
        <v>120</v>
      </c>
      <c r="F98" s="1" t="s">
        <v>121</v>
      </c>
      <c r="G98" s="1" t="s">
        <v>79</v>
      </c>
      <c r="H98" s="1" t="s">
        <v>63</v>
      </c>
      <c r="I98" s="1">
        <v>89</v>
      </c>
      <c r="J98" s="2">
        <f t="shared" si="8"/>
        <v>3.8791984572980396</v>
      </c>
      <c r="K98" s="1">
        <v>12</v>
      </c>
      <c r="L98" s="1">
        <v>9</v>
      </c>
      <c r="M98" s="2">
        <f t="shared" si="9"/>
        <v>1.3333333333333333</v>
      </c>
      <c r="N98" s="2">
        <f t="shared" si="10"/>
        <v>0.12779017700336065</v>
      </c>
      <c r="O98" s="3">
        <f t="shared" si="11"/>
        <v>1</v>
      </c>
      <c r="P98" s="1">
        <v>19</v>
      </c>
      <c r="Q98" s="1">
        <v>2</v>
      </c>
    </row>
    <row r="99" spans="1:23" x14ac:dyDescent="0.2">
      <c r="A99" s="1">
        <v>96</v>
      </c>
      <c r="B99" s="1" t="s">
        <v>37</v>
      </c>
      <c r="C99" s="1">
        <v>1</v>
      </c>
      <c r="D99" s="1">
        <v>1990</v>
      </c>
      <c r="E99" s="1" t="s">
        <v>261</v>
      </c>
      <c r="G99" s="1" t="s">
        <v>231</v>
      </c>
      <c r="H99" s="1" t="s">
        <v>60</v>
      </c>
      <c r="I99" s="1">
        <v>1612</v>
      </c>
      <c r="J99" s="2">
        <f t="shared" si="8"/>
        <v>4.9194950202668473</v>
      </c>
      <c r="K99" s="1">
        <v>18</v>
      </c>
      <c r="L99" s="1">
        <v>9</v>
      </c>
      <c r="M99" s="2">
        <f t="shared" si="9"/>
        <v>2</v>
      </c>
      <c r="N99" s="2">
        <f t="shared" si="10"/>
        <v>5.3092286458125457E-2</v>
      </c>
      <c r="O99" s="3">
        <f t="shared" si="11"/>
        <v>1</v>
      </c>
      <c r="P99" s="1">
        <v>59</v>
      </c>
      <c r="Q99" s="1">
        <v>4</v>
      </c>
    </row>
    <row r="100" spans="1:23" x14ac:dyDescent="0.2">
      <c r="A100" s="1">
        <v>97</v>
      </c>
      <c r="B100" s="1" t="s">
        <v>15</v>
      </c>
      <c r="C100" s="1">
        <v>4</v>
      </c>
      <c r="D100" s="1">
        <v>2021</v>
      </c>
      <c r="E100" s="1" t="s">
        <v>157</v>
      </c>
      <c r="F100" s="1" t="s">
        <v>158</v>
      </c>
      <c r="G100" s="1" t="s">
        <v>65</v>
      </c>
      <c r="H100" s="1" t="s">
        <v>63</v>
      </c>
      <c r="I100" s="1">
        <v>233</v>
      </c>
      <c r="J100" s="2">
        <f t="shared" ref="J100:J103" si="12">LN(I100/((2022-D100)*C100))+1</f>
        <v>5.0647440924458103</v>
      </c>
      <c r="K100" s="1">
        <v>26</v>
      </c>
      <c r="L100" s="1">
        <v>15.79</v>
      </c>
      <c r="M100" s="2">
        <f t="shared" ref="M100:M103" si="13">K100/L100</f>
        <v>1.6466117796073465</v>
      </c>
      <c r="N100" s="2">
        <f t="shared" ref="N100:N103" si="14">ABS((J100 - MEDIAN($J$4:$J$34))/MAX($J$4:$J$34) - (M100 - MEDIAN($M$4:$M$34))/MAX($M$4:$M$34))</f>
        <v>0.20339198173525858</v>
      </c>
      <c r="O100" s="3">
        <f t="shared" si="11"/>
        <v>1</v>
      </c>
      <c r="P100" s="1">
        <v>9</v>
      </c>
      <c r="Q100" s="1">
        <v>5</v>
      </c>
    </row>
    <row r="101" spans="1:23" x14ac:dyDescent="0.2">
      <c r="A101" s="1">
        <v>98</v>
      </c>
      <c r="B101" s="1" t="s">
        <v>16</v>
      </c>
      <c r="C101" s="1">
        <v>5</v>
      </c>
      <c r="D101" s="1">
        <v>2020</v>
      </c>
      <c r="E101" s="1" t="s">
        <v>122</v>
      </c>
      <c r="F101" s="1" t="s">
        <v>123</v>
      </c>
      <c r="G101" s="1" t="s">
        <v>65</v>
      </c>
      <c r="H101" s="1" t="s">
        <v>63</v>
      </c>
      <c r="I101" s="1">
        <v>463</v>
      </c>
      <c r="J101" s="2">
        <f t="shared" si="12"/>
        <v>4.8351419610921882</v>
      </c>
      <c r="K101" s="1">
        <v>29</v>
      </c>
      <c r="L101" s="1">
        <v>15.79</v>
      </c>
      <c r="M101" s="2">
        <f t="shared" si="13"/>
        <v>1.8366054464851174</v>
      </c>
      <c r="N101" s="2">
        <f t="shared" si="14"/>
        <v>9.8510706873930362E-2</v>
      </c>
      <c r="O101" s="3">
        <f t="shared" si="11"/>
        <v>1</v>
      </c>
      <c r="P101" s="1">
        <v>44</v>
      </c>
      <c r="Q101" s="1">
        <v>5</v>
      </c>
    </row>
    <row r="102" spans="1:23" x14ac:dyDescent="0.2">
      <c r="A102" s="1">
        <v>99</v>
      </c>
      <c r="B102" s="1" t="s">
        <v>38</v>
      </c>
      <c r="C102" s="1">
        <v>4</v>
      </c>
      <c r="D102" s="1">
        <v>2016</v>
      </c>
      <c r="E102" s="1" t="s">
        <v>155</v>
      </c>
      <c r="F102" s="1" t="s">
        <v>156</v>
      </c>
      <c r="G102" s="1" t="s">
        <v>230</v>
      </c>
      <c r="H102" s="1" t="s">
        <v>63</v>
      </c>
      <c r="I102" s="1">
        <v>1028</v>
      </c>
      <c r="J102" s="2">
        <f t="shared" si="12"/>
        <v>4.7573166156671647</v>
      </c>
      <c r="K102" s="1">
        <v>32</v>
      </c>
      <c r="L102" s="1">
        <v>23.47</v>
      </c>
      <c r="M102" s="2">
        <f t="shared" si="13"/>
        <v>1.3634426927993184</v>
      </c>
      <c r="N102" s="2">
        <f t="shared" si="14"/>
        <v>0.25648292670085965</v>
      </c>
      <c r="O102" s="3">
        <f t="shared" si="11"/>
        <v>1</v>
      </c>
      <c r="P102" s="1">
        <v>19</v>
      </c>
      <c r="Q102" s="1">
        <v>4</v>
      </c>
    </row>
    <row r="103" spans="1:23" ht="15" customHeight="1" x14ac:dyDescent="0.2">
      <c r="A103" s="1">
        <v>100</v>
      </c>
      <c r="B103" s="1" t="s">
        <v>39</v>
      </c>
      <c r="C103" s="1">
        <v>4</v>
      </c>
      <c r="D103" s="1">
        <v>2013</v>
      </c>
      <c r="E103" s="1" t="s">
        <v>262</v>
      </c>
      <c r="F103" s="1" t="s">
        <v>263</v>
      </c>
      <c r="G103" s="1" t="s">
        <v>188</v>
      </c>
      <c r="H103" s="1" t="s">
        <v>245</v>
      </c>
      <c r="I103" s="1">
        <v>1054</v>
      </c>
      <c r="J103" s="2">
        <f t="shared" si="12"/>
        <v>4.376828790645197</v>
      </c>
      <c r="K103" s="1">
        <v>32</v>
      </c>
      <c r="L103" s="1">
        <v>15.79</v>
      </c>
      <c r="M103" s="2">
        <f t="shared" si="13"/>
        <v>2.026599113362888</v>
      </c>
      <c r="N103" s="2">
        <f t="shared" si="14"/>
        <v>4.2712529081485026E-2</v>
      </c>
      <c r="O103" s="3">
        <f t="shared" si="11"/>
        <v>-1</v>
      </c>
      <c r="P103" s="1">
        <v>69</v>
      </c>
      <c r="Q103" s="1">
        <v>4</v>
      </c>
    </row>
    <row r="111" spans="1:23" ht="12" x14ac:dyDescent="0.2">
      <c r="S111" s="29"/>
      <c r="T111" s="29"/>
      <c r="U111" s="29"/>
      <c r="V111" s="29"/>
      <c r="W111" s="29"/>
    </row>
    <row r="112" spans="1:23" x14ac:dyDescent="0.2">
      <c r="S112" s="23"/>
      <c r="T112" s="23"/>
      <c r="V112" s="31"/>
      <c r="W112" s="31"/>
    </row>
    <row r="113" spans="19:23" x14ac:dyDescent="0.2">
      <c r="S113" s="24"/>
      <c r="T113" s="2"/>
      <c r="V113" s="31"/>
      <c r="W113" s="31"/>
    </row>
    <row r="114" spans="19:23" x14ac:dyDescent="0.2">
      <c r="S114" s="24"/>
      <c r="T114" s="2"/>
      <c r="V114" s="24"/>
    </row>
    <row r="115" spans="19:23" x14ac:dyDescent="0.2">
      <c r="S115" s="24"/>
      <c r="T115" s="25"/>
      <c r="V115" s="24"/>
    </row>
    <row r="116" spans="19:23" x14ac:dyDescent="0.2">
      <c r="V116" s="24"/>
    </row>
    <row r="117" spans="19:23" x14ac:dyDescent="0.2">
      <c r="S117" s="24"/>
      <c r="T117" s="24"/>
      <c r="V117" s="24"/>
    </row>
    <row r="118" spans="19:23" x14ac:dyDescent="0.2">
      <c r="S118" s="24"/>
      <c r="T118" s="2"/>
      <c r="V118" s="24"/>
      <c r="W118" s="2"/>
    </row>
    <row r="119" spans="19:23" x14ac:dyDescent="0.2">
      <c r="S119" s="24"/>
      <c r="T119" s="2"/>
      <c r="V119" s="24"/>
      <c r="W119" s="2"/>
    </row>
    <row r="120" spans="19:23" x14ac:dyDescent="0.2">
      <c r="S120" s="24"/>
      <c r="T120" s="26"/>
      <c r="V120" s="24"/>
      <c r="W120" s="25"/>
    </row>
    <row r="125" spans="19:23" ht="12" x14ac:dyDescent="0.2">
      <c r="S125" s="30"/>
      <c r="T125" s="30"/>
      <c r="U125" s="30"/>
      <c r="V125" s="30"/>
      <c r="W125" s="30"/>
    </row>
    <row r="126" spans="19:23" x14ac:dyDescent="0.2">
      <c r="S126" s="27"/>
      <c r="T126" s="32"/>
      <c r="U126" s="32"/>
      <c r="V126" s="32"/>
      <c r="W126" s="27"/>
    </row>
    <row r="127" spans="19:23" x14ac:dyDescent="0.2">
      <c r="S127" s="28"/>
      <c r="T127" s="28"/>
      <c r="U127" s="28"/>
      <c r="V127" s="28"/>
      <c r="W127" s="28"/>
    </row>
    <row r="128" spans="19:23" x14ac:dyDescent="0.2">
      <c r="S128" s="28"/>
      <c r="T128" s="28"/>
      <c r="U128" s="28"/>
      <c r="V128" s="28"/>
      <c r="W128" s="28"/>
    </row>
    <row r="129" spans="19:23" x14ac:dyDescent="0.2">
      <c r="S129" s="28"/>
      <c r="T129" s="28"/>
      <c r="U129" s="28"/>
      <c r="V129" s="28"/>
      <c r="W129" s="28"/>
    </row>
    <row r="130" spans="19:23" x14ac:dyDescent="0.2">
      <c r="S130" s="28"/>
      <c r="T130" s="28"/>
      <c r="U130" s="28"/>
      <c r="V130" s="28"/>
      <c r="W130" s="28"/>
    </row>
    <row r="131" spans="19:23" x14ac:dyDescent="0.2">
      <c r="S131" s="28"/>
      <c r="T131" s="28"/>
      <c r="U131" s="28"/>
      <c r="V131" s="28"/>
      <c r="W131" s="28"/>
    </row>
    <row r="132" spans="19:23" x14ac:dyDescent="0.2">
      <c r="S132" s="28"/>
      <c r="T132" s="28"/>
      <c r="U132" s="28"/>
      <c r="V132" s="28"/>
      <c r="W132" s="28"/>
    </row>
    <row r="133" spans="19:23" x14ac:dyDescent="0.2">
      <c r="S133" s="28"/>
      <c r="T133" s="28"/>
      <c r="U133" s="28"/>
      <c r="V133" s="28"/>
      <c r="W133" s="28"/>
    </row>
    <row r="134" spans="19:23" x14ac:dyDescent="0.2">
      <c r="S134" s="28"/>
      <c r="T134" s="28"/>
      <c r="U134" s="28"/>
      <c r="V134" s="28"/>
      <c r="W134" s="28"/>
    </row>
  </sheetData>
  <autoFilter ref="A3:Q106" xr:uid="{1317F8CE-C3BC-49D2-9AEE-784672EE07DC}">
    <sortState xmlns:xlrd2="http://schemas.microsoft.com/office/spreadsheetml/2017/richdata2" ref="A4:Q106">
      <sortCondition ref="A3:A106"/>
    </sortState>
  </autoFilter>
  <mergeCells count="13">
    <mergeCell ref="A1:W1"/>
    <mergeCell ref="S5:W5"/>
    <mergeCell ref="T23:V23"/>
    <mergeCell ref="T24:V24"/>
    <mergeCell ref="T25:V25"/>
    <mergeCell ref="N2:P2"/>
    <mergeCell ref="S17:W17"/>
    <mergeCell ref="T18:V18"/>
    <mergeCell ref="T19:V19"/>
    <mergeCell ref="T20:V20"/>
    <mergeCell ref="T21:V21"/>
    <mergeCell ref="T22:V22"/>
    <mergeCell ref="S3:W3"/>
  </mergeCells>
  <dataValidations count="2">
    <dataValidation type="list" allowBlank="1" showInputMessage="1" showErrorMessage="1" sqref="H4:H103" xr:uid="{EC4F16F3-6B7F-439C-9606-E8580A760ECE}">
      <formula1>$H$4:$H$103</formula1>
    </dataValidation>
    <dataValidation type="list" allowBlank="1" showInputMessage="1" showErrorMessage="1" sqref="G4:G103" xr:uid="{E91214FD-BA46-4DC7-A5FC-C22A8C2EF014}">
      <formula1>$G$4:$G$103</formula1>
    </dataValidation>
  </dataValidations>
  <pageMargins left="0.7" right="0.7" top="0.75" bottom="0.75" header="0.3" footer="0.3"/>
  <pageSetup scale="41" fitToHeight="0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Étude_Données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Utilisateur;michael.garancher.1@ulaval.ca</dc:creator>
  <cp:lastModifiedBy>Michael Garancher</cp:lastModifiedBy>
  <cp:lastPrinted>2022-11-18T17:37:52Z</cp:lastPrinted>
  <dcterms:created xsi:type="dcterms:W3CDTF">2021-11-02T13:58:36Z</dcterms:created>
  <dcterms:modified xsi:type="dcterms:W3CDTF">2025-01-16T14:06:52Z</dcterms:modified>
</cp:coreProperties>
</file>